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3f8702fad6d2e900/Desktop/DIO/TOTVs/"/>
    </mc:Choice>
  </mc:AlternateContent>
  <xr:revisionPtr revIDLastSave="4" documentId="8_{9A6C6A80-C6F5-47C9-A897-2DAF0B33E4ED}" xr6:coauthVersionLast="47" xr6:coauthVersionMax="47" xr10:uidLastSave="{9977DBDD-24F8-4247-A53C-6A654A7BCCA2}"/>
  <bookViews>
    <workbookView xWindow="20370" yWindow="-3585" windowWidth="29040" windowHeight="15720" tabRatio="79" firstSheet="4" activeTab="4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 1" sheetId="4" state="hidden" r:id="rId4"/>
    <sheet name="D̳ashboard" sheetId="6" r:id="rId5"/>
  </sheets>
  <definedNames>
    <definedName name="SegmentaçãodeDados_Subscription_Type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8" i="3" l="1"/>
  <c r="C107" i="3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C106" i="3"/>
  <c r="E38" i="3"/>
  <c r="E28" i="3"/>
</calcChain>
</file>

<file path=xl/sharedStrings.xml><?xml version="1.0" encoding="utf-8"?>
<sst xmlns="http://schemas.openxmlformats.org/spreadsheetml/2006/main" count="2094" uniqueCount="350">
  <si>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</si>
  <si>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</si>
  <si>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</si>
  <si>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</si>
  <si>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</si>
  <si>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</si>
  <si>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</si>
  <si>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</si>
  <si>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</si>
  <si>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</si>
  <si>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</si>
  <si>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</si>
  <si>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</si>
  <si>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</si>
  <si>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</si>
  <si>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</si>
  <si>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</si>
  <si>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</si>
  <si>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</si>
  <si>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</si>
  <si>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</si>
  <si>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</si>
  <si>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</si>
  <si>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</si>
  <si>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</si>
  <si>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</si>
  <si>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</si>
  <si>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</si>
  <si>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</si>
  <si>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</si>
  <si>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</si>
  <si>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</si>
  <si>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</si>
  <si>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</si>
  <si>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</si>
  <si>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</si>
  <si>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</si>
  <si>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</si>
  <si>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</si>
  <si>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</si>
  <si>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</si>
  <si>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</si>
  <si>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</si>
  <si>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</si>
  <si>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</si>
  <si>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</si>
  <si>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</si>
  <si>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</si>
  <si>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</si>
  <si>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</si>
  <si>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</si>
  <si>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</si>
  <si>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</si>
  <si>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</si>
  <si>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</si>
  <si>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</si>
  <si>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</si>
  <si>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</si>
  <si>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</si>
  <si>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</si>
  <si>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</si>
  <si>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</si>
  <si>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</si>
  <si>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</si>
  <si>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</si>
  <si>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</si>
  <si>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</si>
  <si>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</si>
  <si>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</si>
  <si>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</si>
  <si>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</si>
  <si>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</si>
  <si>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</si>
  <si>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</si>
  <si>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</si>
  <si>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</si>
  <si>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</si>
  <si>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</si>
  <si>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</si>
  <si>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</si>
  <si>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</si>
  <si>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</si>
  <si>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</si>
  <si>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</si>
  <si>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</si>
  <si>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</si>
  <si>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</si>
  <si>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</si>
  <si>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</si>
  <si>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</si>
  <si>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</si>
  <si>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</si>
  <si>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</si>
  <si>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</si>
  <si>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</si>
  <si>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</si>
  <si>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</si>
  <si>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</si>
  <si>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</si>
  <si>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</si>
  <si>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</si>
  <si>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</si>
  <si>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</si>
  <si>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</si>
  <si>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</si>
  <si>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</si>
  <si>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</si>
  <si>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</si>
  <si>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</si>
  <si>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</si>
  <si>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</si>
  <si>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</si>
  <si>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</si>
  <si>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</si>
  <si>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</si>
  <si>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</si>
  <si>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</si>
  <si>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</si>
  <si>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</si>
  <si>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</si>
  <si>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</si>
  <si>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</si>
  <si>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</si>
  <si>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</si>
  <si>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</si>
  <si>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</si>
  <si>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</si>
  <si>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</si>
  <si>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</si>
  <si>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</si>
  <si>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</si>
  <si>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</si>
  <si>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</si>
  <si>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</si>
  <si>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</si>
  <si>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</si>
  <si>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</si>
  <si>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</si>
  <si>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</si>
  <si>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</si>
  <si>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</si>
  <si>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</si>
  <si>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</si>
  <si>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</si>
  <si>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</si>
  <si>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</si>
  <si>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</si>
  <si>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</si>
  <si>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</si>
  <si>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</si>
  <si>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</si>
  <si>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</si>
  <si>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</si>
  <si>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</si>
  <si>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</si>
  <si>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</si>
  <si>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</si>
  <si>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</si>
  <si>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</si>
  <si>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</si>
  <si>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</si>
  <si>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</si>
  <si>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</si>
  <si>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</si>
  <si>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</si>
  <si>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</si>
  <si>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</si>
  <si>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</si>
  <si>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</si>
  <si>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</si>
  <si>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</si>
  <si>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</si>
  <si>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</si>
  <si>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</si>
  <si>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</si>
  <si>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</si>
  <si>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</si>
  <si>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</si>
  <si>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</si>
  <si>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</si>
  <si>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</si>
  <si>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</si>
  <si>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</si>
  <si>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</si>
  <si>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</si>
  <si>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</si>
  <si>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</si>
  <si>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</si>
  <si>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</si>
  <si>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</si>
  <si>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</si>
  <si>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</si>
  <si>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</si>
  <si>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</si>
  <si>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</si>
  <si>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</si>
  <si>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</si>
  <si>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</si>
  <si>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</si>
  <si>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</si>
  <si>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</si>
  <si>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</si>
  <si>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</si>
  <si>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</si>
  <si>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</si>
  <si>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</si>
  <si>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</si>
  <si>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</si>
  <si>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</si>
  <si>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</si>
  <si>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</si>
  <si>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</si>
  <si>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</si>
  <si>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</si>
  <si>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</si>
  <si>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</si>
  <si>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</si>
  <si>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</si>
  <si>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</si>
  <si>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</si>
  <si>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</si>
  <si>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</si>
  <si>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</si>
  <si>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</si>
  <si>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</si>
  <si>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</si>
  <si>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</si>
  <si>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</si>
  <si>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</si>
  <si>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</si>
  <si>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</si>
  <si>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</si>
  <si>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</si>
  <si>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</si>
  <si>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</si>
  <si>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</si>
  <si>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</si>
  <si>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</si>
  <si>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</si>
  <si>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</si>
  <si>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</si>
  <si>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</si>
  <si>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</si>
  <si>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</si>
  <si>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</si>
  <si>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</si>
  <si>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</si>
  <si>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</si>
  <si>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</si>
  <si>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</si>
  <si>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</si>
  <si>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</si>
  <si>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</si>
  <si>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</si>
  <si>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</si>
  <si>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</si>
  <si>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</si>
  <si>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</si>
  <si>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</si>
  <si>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</si>
  <si>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</si>
  <si>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</si>
  <si>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</si>
  <si>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</si>
  <si>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</si>
  <si>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</si>
  <si>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</si>
  <si>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</si>
  <si>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</si>
  <si>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</si>
  <si>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</si>
  <si>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</si>
  <si>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</si>
  <si>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</si>
  <si>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</si>
  <si>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</si>
  <si>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</si>
  <si>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</si>
  <si>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</si>
  <si>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</si>
  <si>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</si>
  <si>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</si>
  <si>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</si>
  <si>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</si>
  <si>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</si>
  <si>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</si>
  <si>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</si>
  <si>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</si>
  <si>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</si>
  <si>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</si>
  <si>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</si>
  <si>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</si>
  <si>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</si>
  <si>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</si>
  <si>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</si>
  <si>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</si>
  <si>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</si>
  <si>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</si>
  <si>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</si>
  <si>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</si>
  <si>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</si>
  <si>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</si>
  <si>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</si>
  <si>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</si>
  <si>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</si>
  <si>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</si>
  <si>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</si>
  <si>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</si>
  <si>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</si>
  <si>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</si>
  <si>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</si>
  <si>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</si>
  <si>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</si>
  <si>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negócio respondida através de alguma análise de dado específica</t>
  </si>
  <si>
    <t>O que é uma pergunta de negócio?</t>
  </si>
  <si>
    <r>
      <t xml:space="preserve">Pergunta de Negócio 1 - Qual faturamento </t>
    </r>
    <r>
      <rPr>
        <b/>
        <sz val="11"/>
        <color theme="1"/>
        <rFont val="Aptos Narrow"/>
        <scheme val="minor"/>
      </rPr>
      <t xml:space="preserve"> Total de vendas</t>
    </r>
    <r>
      <rPr>
        <sz val="11"/>
        <color theme="1"/>
        <rFont val="Aptos Narrow"/>
        <scheme val="minor"/>
      </rPr>
      <t xml:space="preserve"> de </t>
    </r>
    <r>
      <rPr>
        <b/>
        <sz val="11"/>
        <color theme="1"/>
        <rFont val="Aptos Narrow"/>
        <scheme val="minor"/>
      </rPr>
      <t>planos anuais</t>
    </r>
    <r>
      <rPr>
        <sz val="11"/>
        <color theme="1"/>
        <rFont val="Aptos Narrow"/>
        <scheme val="minor"/>
      </rPr>
      <t xml:space="preserve"> (contendo todas as assinaturas agregadas)</t>
    </r>
  </si>
  <si>
    <t>(Tudo)</t>
  </si>
  <si>
    <t>Rótulos de Linha</t>
  </si>
  <si>
    <t>Total Geral</t>
  </si>
  <si>
    <t>Soma de Total Value</t>
  </si>
  <si>
    <r>
      <t xml:space="preserve">Pergunta de Negócio 2 - Qual Faturamento </t>
    </r>
    <r>
      <rPr>
        <b/>
        <sz val="11"/>
        <color theme="1"/>
        <rFont val="Aptos Narrow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 renovação e não é por auto renovação</t>
    </r>
  </si>
  <si>
    <t>Gráfico - é uma representação visual</t>
  </si>
  <si>
    <t>Pergunta de Negocio 3 - Total de Vendas de Assinaturas do EA Play</t>
  </si>
  <si>
    <t>Soma de EA Play Season Pass</t>
  </si>
  <si>
    <t>Pergunta de Negocio 4 - Total de Vendas de Assinaturas do Minecraft Season Pass</t>
  </si>
  <si>
    <t>Soma de Minecraft Season Pass Price</t>
  </si>
  <si>
    <t xml:space="preserve">              XBOX GAME PASS SUBSCRIPTIONS SALES</t>
  </si>
  <si>
    <t>Pergunta 5 - Qual plano gera mais receita?</t>
  </si>
  <si>
    <t xml:space="preserve">Pergunta 6 - Qual tipo de assinatura os clientes preferem? </t>
  </si>
  <si>
    <t>Contagem de Subscriber ID</t>
  </si>
  <si>
    <t>Pergunta 7 - Clientes que compram addons geram mais receita?</t>
  </si>
  <si>
    <t>Pergunta 8 - Quanto da receita veio de vendas com cupom?</t>
  </si>
  <si>
    <t>Coupon Used</t>
  </si>
  <si>
    <t>Pergunta 9 - As vendas estão crescendo ao longo do tempo?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</si>
  <si>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</si>
  <si>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</si>
  <si>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</si>
  <si>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</si>
  <si>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</si>
  <si>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</si>
  <si>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</si>
  <si>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</si>
  <si>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</si>
  <si>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</si>
  <si>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</si>
  <si>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</si>
  <si>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r>
      <t xml:space="preserve">Pergunta 10 - Clientes com </t>
    </r>
    <r>
      <rPr>
        <b/>
        <sz val="11"/>
        <color theme="1"/>
        <rFont val="Aptos Narrow"/>
        <family val="2"/>
        <scheme val="minor"/>
      </rPr>
      <t>Auto Renewal = Yes</t>
    </r>
    <r>
      <rPr>
        <sz val="11"/>
        <color theme="1"/>
        <rFont val="Aptos Narrow"/>
        <family val="2"/>
        <scheme val="minor"/>
      </rPr>
      <t xml:space="preserve"> geram mais receita?</t>
    </r>
  </si>
  <si>
    <t>Total Revenue</t>
  </si>
  <si>
    <t>Total Subscribers</t>
  </si>
  <si>
    <t>Total Coupons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</si>
</sst>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&quot;R$&quot;\ #,##0.00"/>
    <numFmt numFmtId="165" formatCode="_-[$R$-416]\ * #,##0.00_-;\-[$R$-416]\ * #,##0.00_-;_-[$R$-416]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6" fillId="0" borderId="2" xfId="1" applyFont="1" applyFill="1" applyBorder="1"/>
    <xf numFmtId="2" fontId="0" fillId="0" borderId="0" xfId="0" applyNumberFormat="1"/>
    <xf numFmtId="0" fontId="0" fillId="0" borderId="2" xfId="0" applyBorder="1"/>
    <xf numFmtId="44" fontId="0" fillId="0" borderId="0" xfId="0" applyNumberFormat="1"/>
    <xf numFmtId="0" fontId="0" fillId="0" borderId="0" xfId="0" applyAlignment="1">
      <alignment wrapText="1"/>
    </xf>
  </cellXfs>
  <cellStyles count="3">
    <cellStyle name="Moeda" xfId="2" builtinId="4"/>
    <cellStyle name="Normal" xfId="0" builtinId="0"/>
    <cellStyle name="Título 1" xfId="1" builtinId="16"/>
  </cellStyles>
  <dxfs count="28">
    <dxf>
      <numFmt numFmtId="165" formatCode="_-[$R$-416]\ * #,##0.00_-;\-[$R$-416]\ * #,##0.00_-;_-[$R$-416]\ * &quot;-&quot;??_-;_-@_-"/>
    </dxf>
    <dxf>
      <numFmt numFmtId="2" formatCode="0.00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6F10E202-C82B-4C9D-ACDA-4409B46BC88A}">
      <tableStyleElement type="wholeTable" dxfId="27"/>
      <tableStyleElement type="headerRow" dxfId="26"/>
    </tableStyle>
  </tableStyles>
  <colors>
    <mruColors>
      <color rgb="FF22C55E"/>
      <color rgb="FF007033"/>
      <color rgb="FF2AE6B1"/>
      <color rgb="FF9BC848"/>
      <color rgb="FF5BF6A8"/>
      <color rgb="FFE8E6E9"/>
      <color rgb="FFE0E0E0"/>
      <color rgb="FF000000"/>
      <color rgb="FFEDEDED"/>
      <color rgb="FFF7F8F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dados.xlsx]C̳álculos!Tabela dinâmica1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00703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7695369772048201E-2"/>
          <c:y val="0.12533433987963521"/>
          <c:w val="0.9361934633267176"/>
          <c:h val="0.8237398315910395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007033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C̳álculos!$B$16:$B$18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C̳álculos!$C$16:$C$18</c:f>
              <c:numCache>
                <c:formatCode>_-[$R$-416]\ * #,##0.00_-;\-[$R$-416]\ * #,##0.00_-;_-[$R$-416]\ * "-"??_-;_-@_-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AA-425B-B910-A74DAAD45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92997119"/>
        <c:axId val="533539599"/>
      </c:barChart>
      <c:catAx>
        <c:axId val="1192997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3539599"/>
        <c:crosses val="autoZero"/>
        <c:auto val="1"/>
        <c:lblAlgn val="ctr"/>
        <c:lblOffset val="100"/>
        <c:noMultiLvlLbl val="0"/>
      </c:catAx>
      <c:valAx>
        <c:axId val="533539599"/>
        <c:scaling>
          <c:orientation val="minMax"/>
        </c:scaling>
        <c:delete val="1"/>
        <c:axPos val="b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1192997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dados.xlsx]C̳álculos!Tabela dinâmica1</c:name>
    <c:fmtId val="5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00703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00703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C̳álculos!$B$16:$B$18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C̳álculos!$C$16:$C$18</c:f>
              <c:numCache>
                <c:formatCode>_-[$R$-416]\ * #,##0.00_-;\-[$R$-416]\ * #,##0.00_-;_-[$R$-416]\ * "-"??_-;_-@_-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2-4CFF-A510-88AE1658152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192997119"/>
        <c:axId val="533539599"/>
      </c:barChart>
      <c:catAx>
        <c:axId val="1192997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3539599"/>
        <c:crosses val="autoZero"/>
        <c:auto val="1"/>
        <c:lblAlgn val="ctr"/>
        <c:lblOffset val="100"/>
        <c:noMultiLvlLbl val="0"/>
      </c:catAx>
      <c:valAx>
        <c:axId val="533539599"/>
        <c:scaling>
          <c:orientation val="minMax"/>
        </c:scaling>
        <c:delete val="1"/>
        <c:axPos val="b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1192997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dados.xlsx]C̳álculos!Tabela dinâmica4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</c:pivotFmt>
      <c:pivotFmt>
        <c:idx val="4"/>
        <c:spPr>
          <a:solidFill>
            <a:srgbClr val="9BC848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BC84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2C6-47CA-92A0-F3BB164D4857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2C6-47CA-92A0-F3BB164D48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C̳álculos!$B$44:$B$47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C̳álculos!$C$44:$C$47</c:f>
              <c:numCache>
                <c:formatCode>_-[$R$-416]\ * #,##0.00_-;\-[$R$-416]\ * #,##0.00_-;_-[$R$-416]\ * "-"??_-;_-@_-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C6-47CA-92A0-F3BB164D4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1968863"/>
        <c:axId val="1261969279"/>
      </c:barChart>
      <c:catAx>
        <c:axId val="126196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1969279"/>
        <c:crosses val="autoZero"/>
        <c:auto val="1"/>
        <c:lblAlgn val="ctr"/>
        <c:lblOffset val="100"/>
        <c:noMultiLvlLbl val="0"/>
      </c:catAx>
      <c:valAx>
        <c:axId val="1261969279"/>
        <c:scaling>
          <c:orientation val="minMax"/>
        </c:scaling>
        <c:delete val="1"/>
        <c:axPos val="l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1261968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dados.xlsx]C̳álculos!Tabela dinâmica5</c:name>
    <c:fmtId val="1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AE6B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240777137599422"/>
              <c:y val="0.1782731324310554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2815124317727044E-2"/>
              <c:y val="-0.2300297872769737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799336231979891"/>
              <c:y val="0.176429505338546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C̳álculos!$C$51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2AE6B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CE-4A79-A0E9-C6B01BC2F92A}"/>
              </c:ext>
            </c:extLst>
          </c:dPt>
          <c:dPt>
            <c:idx val="1"/>
            <c:bubble3D val="0"/>
            <c:spPr>
              <a:solidFill>
                <a:srgbClr val="22C55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CE-4A79-A0E9-C6B01BC2F92A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0CE-4A79-A0E9-C6B01BC2F92A}"/>
              </c:ext>
            </c:extLst>
          </c:dPt>
          <c:dLbls>
            <c:dLbl>
              <c:idx val="0"/>
              <c:layout>
                <c:manualLayout>
                  <c:x val="-0.13240777137599422"/>
                  <c:y val="0.1782731324310554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0CE-4A79-A0E9-C6B01BC2F92A}"/>
                </c:ext>
              </c:extLst>
            </c:dLbl>
            <c:dLbl>
              <c:idx val="1"/>
              <c:layout>
                <c:manualLayout>
                  <c:x val="-5.2815124317727044E-2"/>
                  <c:y val="-0.2300297872769737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0CE-4A79-A0E9-C6B01BC2F92A}"/>
                </c:ext>
              </c:extLst>
            </c:dLbl>
            <c:dLbl>
              <c:idx val="2"/>
              <c:layout>
                <c:manualLayout>
                  <c:x val="0.12799336231979891"/>
                  <c:y val="0.176429505338546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0CE-4A79-A0E9-C6B01BC2F9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C̳álculos!$B$52:$B$55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C̳álculos!$C$52:$C$55</c:f>
              <c:numCache>
                <c:formatCode>_-[$R$-416]\ * #,##0.00_-;\-[$R$-416]\ * #,##0.00_-;_-[$R$-416]\ * "-"??_-;_-@_-</c:formatCode>
                <c:ptCount val="3"/>
                <c:pt idx="0">
                  <c:v>71</c:v>
                </c:pt>
                <c:pt idx="1">
                  <c:v>139</c:v>
                </c:pt>
                <c:pt idx="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CE-4A79-A0E9-C6B01BC2F92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dados.xlsx]C̳álculos!Tabela dinâmica6</c:name>
    <c:fmtId val="18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C̳álculos!$C$62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C̳álculos!$B$63:$B$65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C̳álculos!$C$63:$C$65</c:f>
              <c:numCache>
                <c:formatCode>_-[$R$-416]\ * #,##0.00_-;\-[$R$-416]\ * #,##0.00_-;_-[$R$-416]\ * "-"??_-;_-@_-</c:formatCode>
                <c:ptCount val="2"/>
                <c:pt idx="0">
                  <c:v>2245</c:v>
                </c:pt>
                <c:pt idx="1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DB-48CA-AF2D-7AE99C0D4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1662985871"/>
        <c:axId val="1662987951"/>
      </c:barChart>
      <c:catAx>
        <c:axId val="1662985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20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EA Play Season Pass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2987951"/>
        <c:crosses val="autoZero"/>
        <c:auto val="1"/>
        <c:lblAlgn val="ctr"/>
        <c:lblOffset val="100"/>
        <c:noMultiLvlLbl val="0"/>
      </c:catAx>
      <c:valAx>
        <c:axId val="1662987951"/>
        <c:scaling>
          <c:orientation val="minMax"/>
        </c:scaling>
        <c:delete val="1"/>
        <c:axPos val="l"/>
        <c:numFmt formatCode="_-[$R$-416]\ * #,##0.00_-;\-[$R$-416]\ * #,##0.00_-;_-[$R$-416]\ * &quot;-&quot;??_-;_-@_-" sourceLinked="1"/>
        <c:majorTickMark val="out"/>
        <c:minorTickMark val="none"/>
        <c:tickLblPos val="nextTo"/>
        <c:crossAx val="1662985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dados.xlsx]C̳álculos!Tabela dinâmica7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C̳álculos!$F$62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C̳álculos!$E$63:$E$65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C̳álculos!$F$63:$F$65</c:f>
              <c:numCache>
                <c:formatCode>_-[$R$-416]\ * #,##0.00_-;\-[$R$-416]\ * #,##0.00_-;_-[$R$-416]\ * "-"??_-;_-@_-</c:formatCode>
                <c:ptCount val="2"/>
                <c:pt idx="0">
                  <c:v>444</c:v>
                </c:pt>
                <c:pt idx="1">
                  <c:v>7189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CB-4AA9-97AB-47DBF3BCF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1332054975"/>
        <c:axId val="1332057471"/>
      </c:barChart>
      <c:catAx>
        <c:axId val="1332054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20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Minecraft Season Pass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2057471"/>
        <c:crosses val="autoZero"/>
        <c:auto val="1"/>
        <c:lblAlgn val="ctr"/>
        <c:lblOffset val="100"/>
        <c:noMultiLvlLbl val="0"/>
      </c:catAx>
      <c:valAx>
        <c:axId val="1332057471"/>
        <c:scaling>
          <c:orientation val="minMax"/>
        </c:scaling>
        <c:delete val="1"/>
        <c:axPos val="l"/>
        <c:numFmt formatCode="_-[$R$-416]\ * #,##0.00_-;\-[$R$-416]\ * #,##0.00_-;_-[$R$-416]\ * &quot;-&quot;??_-;_-@_-" sourceLinked="1"/>
        <c:majorTickMark val="out"/>
        <c:minorTickMark val="none"/>
        <c:tickLblPos val="nextTo"/>
        <c:crossAx val="1332054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dados.xlsx]C̳álculos!Tabela dinâmica9</c:name>
    <c:fmtId val="2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C̳álculos!$C$72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C̳álculos!$B$73:$B$75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C̳álculos!$C$73:$C$75</c:f>
              <c:numCache>
                <c:formatCode>_-[$R$-416]\ * #,##0.00_-;\-[$R$-416]\ * #,##0.00_-;_-[$R$-416]\ * "-"??_-;_-@_-</c:formatCode>
                <c:ptCount val="2"/>
                <c:pt idx="0">
                  <c:v>255</c:v>
                </c:pt>
                <c:pt idx="1">
                  <c:v>7378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A7-4CA3-B8C2-24E2E4773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7072783"/>
        <c:axId val="1187074863"/>
      </c:barChart>
      <c:catAx>
        <c:axId val="1187072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7074863"/>
        <c:crosses val="autoZero"/>
        <c:auto val="1"/>
        <c:lblAlgn val="ctr"/>
        <c:lblOffset val="100"/>
        <c:noMultiLvlLbl val="0"/>
      </c:catAx>
      <c:valAx>
        <c:axId val="1187074863"/>
        <c:scaling>
          <c:orientation val="minMax"/>
        </c:scaling>
        <c:delete val="1"/>
        <c:axPos val="b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1187072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dados.xlsx]C̳álculos!Tabela dinâmica10</c:name>
    <c:fmtId val="3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41275" cap="sq">
            <a:solidFill>
              <a:srgbClr val="00703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C̳álculos!$C$80</c:f>
              <c:strCache>
                <c:ptCount val="1"/>
                <c:pt idx="0">
                  <c:v>Total</c:v>
                </c:pt>
              </c:strCache>
            </c:strRef>
          </c:tx>
          <c:spPr>
            <a:ln w="41275" cap="sq">
              <a:solidFill>
                <a:srgbClr val="007033"/>
              </a:solidFill>
              <a:round/>
            </a:ln>
            <a:effectLst/>
          </c:spPr>
          <c:marker>
            <c:symbol val="none"/>
          </c:marker>
          <c:cat>
            <c:strRef>
              <c:f>C̳álculos!$B$81:$B$93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C̳álculos!$C$81:$C$93</c:f>
              <c:numCache>
                <c:formatCode>_-[$R$-416]\ * #,##0.00_-;\-[$R$-416]\ * #,##0.00_-;_-[$R$-416]\ * "-"??_-;_-@_-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57-48EC-A678-7DF346269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prstDash val="sysDot"/>
              <a:round/>
            </a:ln>
            <a:effectLst/>
          </c:spPr>
        </c:dropLines>
        <c:smooth val="0"/>
        <c:axId val="1822078687"/>
        <c:axId val="1822080767"/>
      </c:lineChart>
      <c:catAx>
        <c:axId val="182207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2080767"/>
        <c:crosses val="autoZero"/>
        <c:auto val="1"/>
        <c:lblAlgn val="ctr"/>
        <c:lblOffset val="100"/>
        <c:noMultiLvlLbl val="0"/>
      </c:catAx>
      <c:valAx>
        <c:axId val="182208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2078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dados.xlsx]C̳álculos!Tabela dinâmica11</c:name>
    <c:fmtId val="3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C̳álculos!$C$100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C̳álculos!$B$101:$B$103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C̳álculos!$C$101:$C$103</c:f>
              <c:numCache>
                <c:formatCode>_-[$R$-416]\ * #,##0.00_-;\-[$R$-416]\ * #,##0.00_-;_-[$R$-416]\ * "-"??_-;_-@_-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1D-4809-8E61-5C8336BF3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2075775"/>
        <c:axId val="1822081183"/>
      </c:barChart>
      <c:catAx>
        <c:axId val="182207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2081183"/>
        <c:crosses val="autoZero"/>
        <c:auto val="1"/>
        <c:lblAlgn val="ctr"/>
        <c:lblOffset val="100"/>
        <c:noMultiLvlLbl val="0"/>
      </c:catAx>
      <c:valAx>
        <c:axId val="1822081183"/>
        <c:scaling>
          <c:orientation val="minMax"/>
        </c:scaling>
        <c:delete val="1"/>
        <c:axPos val="l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182207577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13" Type="http://schemas.openxmlformats.org/officeDocument/2006/relationships/chart" Target="../charts/chart8.xml"/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12" Type="http://schemas.openxmlformats.org/officeDocument/2006/relationships/chart" Target="../charts/chart7.xml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2.xml"/><Relationship Id="rId11" Type="http://schemas.openxmlformats.org/officeDocument/2006/relationships/chart" Target="../charts/chart6.xml"/><Relationship Id="rId5" Type="http://schemas.openxmlformats.org/officeDocument/2006/relationships/image" Target="../media/image10.svg"/><Relationship Id="rId10" Type="http://schemas.openxmlformats.org/officeDocument/2006/relationships/chart" Target="../charts/chart5.xml"/><Relationship Id="rId4" Type="http://schemas.openxmlformats.org/officeDocument/2006/relationships/image" Target="../media/image9.png"/><Relationship Id="rId9" Type="http://schemas.openxmlformats.org/officeDocument/2006/relationships/chart" Target="../charts/chart4.xml"/><Relationship Id="rId1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9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238125</xdr:colOff>
      <xdr:row>1</xdr:row>
      <xdr:rowOff>0</xdr:rowOff>
    </xdr:from>
    <xdr:to>
      <xdr:col>2</xdr:col>
      <xdr:colOff>547687</xdr:colOff>
      <xdr:row>1</xdr:row>
      <xdr:rowOff>547688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C45CCD8-F19B-470F-83D5-55EE1AE3C3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82" t="21990" r="73760" b="21814"/>
        <a:stretch/>
      </xdr:blipFill>
      <xdr:spPr>
        <a:xfrm>
          <a:off x="2309813" y="178594"/>
          <a:ext cx="583405" cy="5476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340519</xdr:rowOff>
    </xdr:from>
    <xdr:to>
      <xdr:col>0</xdr:col>
      <xdr:colOff>1988345</xdr:colOff>
      <xdr:row>24</xdr:row>
      <xdr:rowOff>59530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70928A71-0E44-433B-A8C7-A066277AEB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090738"/>
              <a:ext cx="1988345" cy="29932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190500</xdr:colOff>
      <xdr:row>7</xdr:row>
      <xdr:rowOff>177401</xdr:rowOff>
    </xdr:from>
    <xdr:to>
      <xdr:col>9</xdr:col>
      <xdr:colOff>357187</xdr:colOff>
      <xdr:row>16</xdr:row>
      <xdr:rowOff>10714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1953E2D9-EB3B-433A-A3F0-855263319F2E}"/>
            </a:ext>
          </a:extLst>
        </xdr:cNvPr>
        <xdr:cNvGrpSpPr/>
      </xdr:nvGrpSpPr>
      <xdr:grpSpPr>
        <a:xfrm>
          <a:off x="2262188" y="1927620"/>
          <a:ext cx="5274468" cy="1678782"/>
          <a:chOff x="2155032" y="2035968"/>
          <a:chExt cx="4869655" cy="1666876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69BBBDC6-736A-4724-91B2-A3B8934072AD}"/>
              </a:ext>
            </a:extLst>
          </xdr:cNvPr>
          <xdr:cNvSpPr/>
        </xdr:nvSpPr>
        <xdr:spPr>
          <a:xfrm>
            <a:off x="2166937" y="2035969"/>
            <a:ext cx="4833938" cy="1666875"/>
          </a:xfrm>
          <a:prstGeom prst="roundRect">
            <a:avLst>
              <a:gd name="adj" fmla="val 738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8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76ACD5F6-4511-4DD4-BE86-DC0B60BC543A}"/>
              </a:ext>
            </a:extLst>
          </xdr:cNvPr>
          <xdr:cNvSpPr/>
        </xdr:nvSpPr>
        <xdr:spPr>
          <a:xfrm>
            <a:off x="3774282" y="2569369"/>
            <a:ext cx="3238501" cy="823912"/>
          </a:xfrm>
          <a:prstGeom prst="roundRect">
            <a:avLst>
              <a:gd name="adj" fmla="val 7381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E7D1431-0998-470D-83A2-6CA2E498DB0F}" type="TxLink">
              <a:rPr lang="en-US" sz="40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R$ 2.940,00 </a:t>
            </a:fld>
            <a:endParaRPr lang="pt-BR" sz="4000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E9290F45-9300-4CFA-9393-FB79612DFBD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" t="27473" r="-6373" b="27472"/>
          <a:stretch/>
        </xdr:blipFill>
        <xdr:spPr>
          <a:xfrm>
            <a:off x="2226470" y="2671990"/>
            <a:ext cx="1738311" cy="618671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25D6A6C3-1E9B-4B93-9A46-225646532BA2}"/>
              </a:ext>
            </a:extLst>
          </xdr:cNvPr>
          <xdr:cNvSpPr/>
        </xdr:nvSpPr>
        <xdr:spPr>
          <a:xfrm>
            <a:off x="2155032" y="2035968"/>
            <a:ext cx="4869655" cy="428625"/>
          </a:xfrm>
          <a:prstGeom prst="round2SameRect">
            <a:avLst>
              <a:gd name="adj1" fmla="val 42473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SUBSCRIPTIONES EA PLAY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12</xdr:col>
      <xdr:colOff>295277</xdr:colOff>
      <xdr:row>7</xdr:row>
      <xdr:rowOff>177401</xdr:rowOff>
    </xdr:from>
    <xdr:to>
      <xdr:col>20</xdr:col>
      <xdr:colOff>45245</xdr:colOff>
      <xdr:row>16</xdr:row>
      <xdr:rowOff>10714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F1439D95-346F-4790-9563-9310601BA5C1}"/>
            </a:ext>
          </a:extLst>
        </xdr:cNvPr>
        <xdr:cNvGrpSpPr/>
      </xdr:nvGrpSpPr>
      <xdr:grpSpPr>
        <a:xfrm>
          <a:off x="9355933" y="1927620"/>
          <a:ext cx="5274468" cy="1678782"/>
          <a:chOff x="8963026" y="2033587"/>
          <a:chExt cx="5274468" cy="1678782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61E8E9B4-F15E-4F9A-BC12-20A5EAECC6BA}"/>
              </a:ext>
            </a:extLst>
          </xdr:cNvPr>
          <xdr:cNvGrpSpPr/>
        </xdr:nvGrpSpPr>
        <xdr:grpSpPr>
          <a:xfrm>
            <a:off x="8963026" y="2033587"/>
            <a:ext cx="5274468" cy="1678782"/>
            <a:chOff x="2155032" y="2035968"/>
            <a:chExt cx="4869655" cy="1666876"/>
          </a:xfrm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9221BEC1-0195-420F-BEED-DAD56D1D495A}"/>
                </a:ext>
              </a:extLst>
            </xdr:cNvPr>
            <xdr:cNvSpPr/>
          </xdr:nvSpPr>
          <xdr:spPr>
            <a:xfrm>
              <a:off x="2166937" y="2035969"/>
              <a:ext cx="4833938" cy="1666875"/>
            </a:xfrm>
            <a:prstGeom prst="roundRect">
              <a:avLst>
                <a:gd name="adj" fmla="val 7381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8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702C1021-5021-42D1-AA1E-65BC8101570E}"/>
                </a:ext>
              </a:extLst>
            </xdr:cNvPr>
            <xdr:cNvSpPr/>
          </xdr:nvSpPr>
          <xdr:spPr>
            <a:xfrm>
              <a:off x="3774282" y="2569369"/>
              <a:ext cx="3238501" cy="823912"/>
            </a:xfrm>
            <a:prstGeom prst="roundRect">
              <a:avLst>
                <a:gd name="adj" fmla="val 7381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C8EB5E11-7FF3-4E69-A492-65EB721FFDBC}" type="TxLink">
                <a:rPr lang="en-US" sz="4000" b="0" i="0" u="none" strike="noStrike">
                  <a:solidFill>
                    <a:srgbClr val="22C55E"/>
                  </a:solidFill>
                  <a:latin typeface="+mn-lt"/>
                  <a:cs typeface="Segoe UI" panose="020B0502040204020203" pitchFamily="34" charset="0"/>
                </a:rPr>
                <a:pPr algn="ctr"/>
                <a:t> R$ 3.880,00 </a:t>
              </a:fld>
              <a:endParaRPr lang="pt-BR" sz="4000">
                <a:solidFill>
                  <a:srgbClr val="22C55E"/>
                </a:solidFill>
                <a:latin typeface="+mn-lt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6E3C627C-C41F-4741-B458-8AFCE4C94649}"/>
                </a:ext>
              </a:extLst>
            </xdr:cNvPr>
            <xdr:cNvSpPr/>
          </xdr:nvSpPr>
          <xdr:spPr>
            <a:xfrm>
              <a:off x="2155032" y="2035968"/>
              <a:ext cx="4869655" cy="428625"/>
            </a:xfrm>
            <a:prstGeom prst="round2SameRect">
              <a:avLst>
                <a:gd name="adj1" fmla="val 42473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SUBSCRIPTIONES MINECRAFT SEASON PASS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22132380-FE74-46DF-B53C-5489881DAD59}"/>
              </a:ext>
            </a:extLst>
          </xdr:cNvPr>
          <xdr:cNvGrpSpPr/>
        </xdr:nvGrpSpPr>
        <xdr:grpSpPr>
          <a:xfrm>
            <a:off x="9179719" y="2571750"/>
            <a:ext cx="1778076" cy="714376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C3EAE084-26C3-422A-9AB6-528F0B41058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12BD5C61-509C-45DD-8487-67D2F9791DD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95249</xdr:colOff>
      <xdr:row>18</xdr:row>
      <xdr:rowOff>107157</xdr:rowOff>
    </xdr:from>
    <xdr:to>
      <xdr:col>20</xdr:col>
      <xdr:colOff>178594</xdr:colOff>
      <xdr:row>44</xdr:row>
      <xdr:rowOff>-1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139710C0-6531-4022-8491-E5AF09F80ADD}"/>
            </a:ext>
          </a:extLst>
        </xdr:cNvPr>
        <xdr:cNvGrpSpPr/>
      </xdr:nvGrpSpPr>
      <xdr:grpSpPr>
        <a:xfrm>
          <a:off x="2166937" y="4060032"/>
          <a:ext cx="12596813" cy="4536280"/>
          <a:chOff x="2166937" y="4060032"/>
          <a:chExt cx="12203907" cy="4536280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5684FF22-9714-43E3-ADB4-650607375F1E}"/>
              </a:ext>
            </a:extLst>
          </xdr:cNvPr>
          <xdr:cNvGrpSpPr/>
        </xdr:nvGrpSpPr>
        <xdr:grpSpPr>
          <a:xfrm>
            <a:off x="2190749" y="4071937"/>
            <a:ext cx="12180095" cy="4524375"/>
            <a:chOff x="2226468" y="1631157"/>
            <a:chExt cx="5284801" cy="3036094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E9283D0D-BD89-48ED-A015-E11B0633F3C6}"/>
                </a:ext>
              </a:extLst>
            </xdr:cNvPr>
            <xdr:cNvSpPr/>
          </xdr:nvSpPr>
          <xdr:spPr>
            <a:xfrm>
              <a:off x="2226468" y="1631157"/>
              <a:ext cx="5274469" cy="3036094"/>
            </a:xfrm>
            <a:prstGeom prst="roundRect">
              <a:avLst>
                <a:gd name="adj" fmla="val 6517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5D1FAC6F-6ADD-4D38-AFE1-6B72CB48CE61}"/>
                </a:ext>
              </a:extLst>
            </xdr:cNvPr>
            <xdr:cNvGraphicFramePr>
              <a:graphicFrameLocks/>
            </xdr:cNvGraphicFramePr>
          </xdr:nvGraphicFramePr>
          <xdr:xfrm>
            <a:off x="2283294" y="1797844"/>
            <a:ext cx="5227975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4" name="Retângulo: Cantos Superiores Arredondados 23">
            <a:extLst>
              <a:ext uri="{FF2B5EF4-FFF2-40B4-BE49-F238E27FC236}">
                <a16:creationId xmlns:a16="http://schemas.microsoft.com/office/drawing/2014/main" id="{A0CEA144-8528-45C8-A9E9-51E2B4701E89}"/>
              </a:ext>
            </a:extLst>
          </xdr:cNvPr>
          <xdr:cNvSpPr/>
        </xdr:nvSpPr>
        <xdr:spPr>
          <a:xfrm>
            <a:off x="2166937" y="4060032"/>
            <a:ext cx="12191999" cy="392906"/>
          </a:xfrm>
          <a:prstGeom prst="round2SameRect">
            <a:avLst>
              <a:gd name="adj1" fmla="val 42473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SUBSCRIPTIONES XBOX GAME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0</xdr:col>
      <xdr:colOff>404813</xdr:colOff>
      <xdr:row>0</xdr:row>
      <xdr:rowOff>95252</xdr:rowOff>
    </xdr:from>
    <xdr:to>
      <xdr:col>0</xdr:col>
      <xdr:colOff>1238251</xdr:colOff>
      <xdr:row>2</xdr:row>
      <xdr:rowOff>166688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4F17F55C-8D03-4560-814F-CF6936E2D05F}"/>
            </a:ext>
          </a:extLst>
        </xdr:cNvPr>
        <xdr:cNvSpPr/>
      </xdr:nvSpPr>
      <xdr:spPr>
        <a:xfrm>
          <a:off x="404813" y="95252"/>
          <a:ext cx="833438" cy="809624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95250</xdr:colOff>
      <xdr:row>2</xdr:row>
      <xdr:rowOff>190499</xdr:rowOff>
    </xdr:from>
    <xdr:to>
      <xdr:col>0</xdr:col>
      <xdr:colOff>1857375</xdr:colOff>
      <xdr:row>2</xdr:row>
      <xdr:rowOff>452437</xdr:rowOff>
    </xdr:to>
    <xdr:sp macro="" textlink="">
      <xdr:nvSpPr>
        <xdr:cNvPr id="27" name="Retângulo: Cantos Arredondados 26">
          <a:extLst>
            <a:ext uri="{FF2B5EF4-FFF2-40B4-BE49-F238E27FC236}">
              <a16:creationId xmlns:a16="http://schemas.microsoft.com/office/drawing/2014/main" id="{A21E5AC6-08A6-4325-9C67-DD19F9C20612}"/>
            </a:ext>
          </a:extLst>
        </xdr:cNvPr>
        <xdr:cNvSpPr/>
      </xdr:nvSpPr>
      <xdr:spPr>
        <a:xfrm>
          <a:off x="95250" y="928687"/>
          <a:ext cx="1762125" cy="26193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/>
            <a:t>&gt; Bem</a:t>
          </a:r>
          <a:r>
            <a:rPr lang="pt-BR" sz="1100" b="1" baseline="0"/>
            <a:t> vinda, Eliana</a:t>
          </a:r>
          <a:endParaRPr lang="pt-BR" sz="1100" b="1"/>
        </a:p>
      </xdr:txBody>
    </xdr:sp>
    <xdr:clientData/>
  </xdr:twoCellAnchor>
  <xdr:twoCellAnchor editAs="absolute">
    <xdr:from>
      <xdr:col>1</xdr:col>
      <xdr:colOff>238125</xdr:colOff>
      <xdr:row>4</xdr:row>
      <xdr:rowOff>47624</xdr:rowOff>
    </xdr:from>
    <xdr:to>
      <xdr:col>18</xdr:col>
      <xdr:colOff>357188</xdr:colOff>
      <xdr:row>6</xdr:row>
      <xdr:rowOff>83343</xdr:rowOff>
    </xdr:to>
    <xdr:sp macro="" textlink="">
      <xdr:nvSpPr>
        <xdr:cNvPr id="28" name="Retângulo: Cantos Arredondados 27">
          <a:extLst>
            <a:ext uri="{FF2B5EF4-FFF2-40B4-BE49-F238E27FC236}">
              <a16:creationId xmlns:a16="http://schemas.microsoft.com/office/drawing/2014/main" id="{565C3806-2277-4D39-AEF0-FB5EFC67FD0A}"/>
            </a:ext>
          </a:extLst>
        </xdr:cNvPr>
        <xdr:cNvSpPr/>
      </xdr:nvSpPr>
      <xdr:spPr>
        <a:xfrm>
          <a:off x="2309813" y="1452562"/>
          <a:ext cx="11251406" cy="26193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0">
              <a:solidFill>
                <a:schemeClr val="bg1">
                  <a:lumMod val="50000"/>
                </a:schemeClr>
              </a:solidFill>
            </a:rPr>
            <a:t>Calculation period</a:t>
          </a:r>
          <a:r>
            <a:rPr lang="pt-BR" sz="1100" b="0" baseline="0">
              <a:solidFill>
                <a:schemeClr val="bg1">
                  <a:lumMod val="50000"/>
                </a:schemeClr>
              </a:solidFill>
            </a:rPr>
            <a:t>:01/01/2024 -31/12/2024  | Update date: 25/12/2024     09:00:00</a:t>
          </a:r>
          <a:endParaRPr lang="pt-BR" sz="1100" b="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238125</xdr:colOff>
      <xdr:row>1</xdr:row>
      <xdr:rowOff>0</xdr:rowOff>
    </xdr:from>
    <xdr:to>
      <xdr:col>2</xdr:col>
      <xdr:colOff>547687</xdr:colOff>
      <xdr:row>1</xdr:row>
      <xdr:rowOff>547688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7DC6456-0411-441B-AFE7-E7994C6DD4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82" t="21990" r="73760" b="21814"/>
        <a:stretch/>
      </xdr:blipFill>
      <xdr:spPr>
        <a:xfrm>
          <a:off x="2305050" y="180975"/>
          <a:ext cx="585787" cy="547688"/>
        </a:xfrm>
        <a:prstGeom prst="rect">
          <a:avLst/>
        </a:prstGeom>
      </xdr:spPr>
    </xdr:pic>
    <xdr:clientData/>
  </xdr:twoCellAnchor>
  <xdr:twoCellAnchor editAs="oneCell">
    <xdr:from>
      <xdr:col>0</xdr:col>
      <xdr:colOff>71437</xdr:colOff>
      <xdr:row>12</xdr:row>
      <xdr:rowOff>66675</xdr:rowOff>
    </xdr:from>
    <xdr:to>
      <xdr:col>0</xdr:col>
      <xdr:colOff>2059782</xdr:colOff>
      <xdr:row>29</xdr:row>
      <xdr:rowOff>23812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bscription Type 1">
              <a:extLst>
                <a:ext uri="{FF2B5EF4-FFF2-40B4-BE49-F238E27FC236}">
                  <a16:creationId xmlns:a16="http://schemas.microsoft.com/office/drawing/2014/main" id="{96531FC2-7340-42E3-A371-B0A13C198C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437" y="2947988"/>
              <a:ext cx="1988345" cy="29932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15</xdr:col>
      <xdr:colOff>480204</xdr:colOff>
      <xdr:row>8</xdr:row>
      <xdr:rowOff>30083</xdr:rowOff>
    </xdr:from>
    <xdr:to>
      <xdr:col>21</xdr:col>
      <xdr:colOff>530221</xdr:colOff>
      <xdr:row>15</xdr:row>
      <xdr:rowOff>114619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C9D3E0F9-E339-44AF-A8E6-E7E727B6A1BD}"/>
            </a:ext>
          </a:extLst>
        </xdr:cNvPr>
        <xdr:cNvGrpSpPr/>
      </xdr:nvGrpSpPr>
      <xdr:grpSpPr>
        <a:xfrm>
          <a:off x="11586354" y="2258933"/>
          <a:ext cx="4164817" cy="1418036"/>
          <a:chOff x="2155032" y="2035968"/>
          <a:chExt cx="4869655" cy="1666876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1D72CEE7-C224-4CB4-AEA2-D6350FC59E84}"/>
              </a:ext>
            </a:extLst>
          </xdr:cNvPr>
          <xdr:cNvSpPr/>
        </xdr:nvSpPr>
        <xdr:spPr>
          <a:xfrm>
            <a:off x="2166937" y="2035969"/>
            <a:ext cx="4833938" cy="1666875"/>
          </a:xfrm>
          <a:prstGeom prst="roundRect">
            <a:avLst>
              <a:gd name="adj" fmla="val 738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8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ECC7A6BB-63A8-4F6E-9BE0-6F71C0E6E2EB}"/>
              </a:ext>
            </a:extLst>
          </xdr:cNvPr>
          <xdr:cNvSpPr/>
        </xdr:nvSpPr>
        <xdr:spPr>
          <a:xfrm>
            <a:off x="3539234" y="2554500"/>
            <a:ext cx="3238501" cy="823912"/>
          </a:xfrm>
          <a:prstGeom prst="roundRect">
            <a:avLst>
              <a:gd name="adj" fmla="val 7381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E7D1431-0998-470D-83A2-6CA2E498DB0F}" type="TxLink">
              <a:rPr lang="en-US" sz="38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R$ 2.940,00 </a:t>
            </a:fld>
            <a:endParaRPr lang="pt-BR" sz="3800">
              <a:solidFill>
                <a:srgbClr val="22C55E"/>
              </a:solidFill>
            </a:endParaRPr>
          </a:p>
        </xdr:txBody>
      </xdr:sp>
      <xdr:pic>
        <xdr:nvPicPr>
          <xdr:cNvPr id="7" name="Imagem 6">
            <a:extLst>
              <a:ext uri="{FF2B5EF4-FFF2-40B4-BE49-F238E27FC236}">
                <a16:creationId xmlns:a16="http://schemas.microsoft.com/office/drawing/2014/main" id="{A0893043-657D-4D8A-AB80-A8789AD733A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" t="27473" r="-6373" b="27472"/>
          <a:stretch/>
        </xdr:blipFill>
        <xdr:spPr>
          <a:xfrm>
            <a:off x="2226470" y="2671990"/>
            <a:ext cx="1738311" cy="618671"/>
          </a:xfrm>
          <a:prstGeom prst="rect">
            <a:avLst/>
          </a:prstGeom>
        </xdr:spPr>
      </xdr:pic>
      <xdr:sp macro="" textlink="">
        <xdr:nvSpPr>
          <xdr:cNvPr id="8" name="Retângulo: Cantos Superiores Arredondados 7">
            <a:extLst>
              <a:ext uri="{FF2B5EF4-FFF2-40B4-BE49-F238E27FC236}">
                <a16:creationId xmlns:a16="http://schemas.microsoft.com/office/drawing/2014/main" id="{A93E493C-346D-48ED-A9A3-54C6BE51D66C}"/>
              </a:ext>
            </a:extLst>
          </xdr:cNvPr>
          <xdr:cNvSpPr/>
        </xdr:nvSpPr>
        <xdr:spPr>
          <a:xfrm>
            <a:off x="2155032" y="2035968"/>
            <a:ext cx="4869655" cy="428625"/>
          </a:xfrm>
          <a:prstGeom prst="round2SameRect">
            <a:avLst>
              <a:gd name="adj1" fmla="val 42473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SUBSCRIPTIONES EA PLAY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22</xdr:col>
      <xdr:colOff>269059</xdr:colOff>
      <xdr:row>8</xdr:row>
      <xdr:rowOff>14053</xdr:rowOff>
    </xdr:from>
    <xdr:to>
      <xdr:col>28</xdr:col>
      <xdr:colOff>295250</xdr:colOff>
      <xdr:row>15</xdr:row>
      <xdr:rowOff>130649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A6C155E5-1269-4C05-8A53-C4AA4487F0BC}"/>
            </a:ext>
          </a:extLst>
        </xdr:cNvPr>
        <xdr:cNvGrpSpPr/>
      </xdr:nvGrpSpPr>
      <xdr:grpSpPr>
        <a:xfrm>
          <a:off x="16175809" y="2242903"/>
          <a:ext cx="4140991" cy="1450096"/>
          <a:chOff x="8963026" y="2033587"/>
          <a:chExt cx="5274468" cy="1678782"/>
        </a:xfrm>
      </xdr:grpSpPr>
      <xdr:grpSp>
        <xdr:nvGrpSpPr>
          <xdr:cNvPr id="10" name="Agrupar 9">
            <a:extLst>
              <a:ext uri="{FF2B5EF4-FFF2-40B4-BE49-F238E27FC236}">
                <a16:creationId xmlns:a16="http://schemas.microsoft.com/office/drawing/2014/main" id="{E19B928B-ACDF-492A-9202-4A47D8B47159}"/>
              </a:ext>
            </a:extLst>
          </xdr:cNvPr>
          <xdr:cNvGrpSpPr/>
        </xdr:nvGrpSpPr>
        <xdr:grpSpPr>
          <a:xfrm>
            <a:off x="8963026" y="2033587"/>
            <a:ext cx="5274468" cy="1678782"/>
            <a:chOff x="2155032" y="2035968"/>
            <a:chExt cx="4869655" cy="1666876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F48FDF84-37BF-4C42-B9FC-69A8556ADC33}"/>
                </a:ext>
              </a:extLst>
            </xdr:cNvPr>
            <xdr:cNvSpPr/>
          </xdr:nvSpPr>
          <xdr:spPr>
            <a:xfrm>
              <a:off x="2166937" y="2035969"/>
              <a:ext cx="4833938" cy="1666875"/>
            </a:xfrm>
            <a:prstGeom prst="roundRect">
              <a:avLst>
                <a:gd name="adj" fmla="val 7381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8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99371D38-4160-4572-A814-BB0DAE2A3C0E}"/>
                </a:ext>
              </a:extLst>
            </xdr:cNvPr>
            <xdr:cNvSpPr/>
          </xdr:nvSpPr>
          <xdr:spPr>
            <a:xfrm>
              <a:off x="3774282" y="2569369"/>
              <a:ext cx="3238501" cy="823912"/>
            </a:xfrm>
            <a:prstGeom prst="roundRect">
              <a:avLst>
                <a:gd name="adj" fmla="val 7381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C8EB5E11-7FF3-4E69-A492-65EB721FFDBC}" type="TxLink">
                <a:rPr lang="en-US" sz="3800" b="0" i="0" u="none" strike="noStrike">
                  <a:solidFill>
                    <a:srgbClr val="22C55E"/>
                  </a:solidFill>
                  <a:latin typeface="+mn-lt"/>
                  <a:cs typeface="Segoe UI" panose="020B0502040204020203" pitchFamily="34" charset="0"/>
                </a:rPr>
                <a:pPr algn="ctr"/>
                <a:t> R$ 3.880,00 </a:t>
              </a:fld>
              <a:endParaRPr lang="pt-BR" sz="3800">
                <a:solidFill>
                  <a:srgbClr val="22C55E"/>
                </a:solidFill>
                <a:latin typeface="+mn-lt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6B596F9F-5FBE-4107-BD3F-76EB92C280AD}"/>
                </a:ext>
              </a:extLst>
            </xdr:cNvPr>
            <xdr:cNvSpPr/>
          </xdr:nvSpPr>
          <xdr:spPr>
            <a:xfrm>
              <a:off x="2155032" y="2035968"/>
              <a:ext cx="4869655" cy="428625"/>
            </a:xfrm>
            <a:prstGeom prst="round2SameRect">
              <a:avLst>
                <a:gd name="adj1" fmla="val 42473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SUBSCRIPTIONES MINECRAFT SEASON PASS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8792DCFE-ED8E-43B6-8E7D-6754E84EDDD7}"/>
              </a:ext>
            </a:extLst>
          </xdr:cNvPr>
          <xdr:cNvGrpSpPr/>
        </xdr:nvGrpSpPr>
        <xdr:grpSpPr>
          <a:xfrm>
            <a:off x="9179719" y="2571750"/>
            <a:ext cx="1778076" cy="714376"/>
            <a:chOff x="3495675" y="5400674"/>
            <a:chExt cx="1549476" cy="752476"/>
          </a:xfrm>
        </xdr:grpSpPr>
        <xdr:pic>
          <xdr:nvPicPr>
            <xdr:cNvPr id="12" name="Imagem 11">
              <a:extLst>
                <a:ext uri="{FF2B5EF4-FFF2-40B4-BE49-F238E27FC236}">
                  <a16:creationId xmlns:a16="http://schemas.microsoft.com/office/drawing/2014/main" id="{F3557B22-2E5E-47AD-9D03-B0D86D07B66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3" name="Gráfico 12">
              <a:extLst>
                <a:ext uri="{FF2B5EF4-FFF2-40B4-BE49-F238E27FC236}">
                  <a16:creationId xmlns:a16="http://schemas.microsoft.com/office/drawing/2014/main" id="{5B7C9856-EDD5-481D-A0A7-CE1DB04B1B8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23813</xdr:colOff>
      <xdr:row>16</xdr:row>
      <xdr:rowOff>86321</xdr:rowOff>
    </xdr:from>
    <xdr:to>
      <xdr:col>11</xdr:col>
      <xdr:colOff>250031</xdr:colOff>
      <xdr:row>38</xdr:row>
      <xdr:rowOff>104180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0C65D62E-8183-4CAE-A050-D72F68F66F34}"/>
            </a:ext>
          </a:extLst>
        </xdr:cNvPr>
        <xdr:cNvGrpSpPr/>
      </xdr:nvGrpSpPr>
      <xdr:grpSpPr>
        <a:xfrm>
          <a:off x="2386013" y="3839171"/>
          <a:ext cx="6398418" cy="4208859"/>
          <a:chOff x="2166937" y="4060032"/>
          <a:chExt cx="12191999" cy="4536280"/>
        </a:xfrm>
      </xdr:grpSpPr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C5A780AE-B8F5-46F2-81C8-6597B18AF4DF}"/>
              </a:ext>
            </a:extLst>
          </xdr:cNvPr>
          <xdr:cNvGrpSpPr/>
        </xdr:nvGrpSpPr>
        <xdr:grpSpPr>
          <a:xfrm>
            <a:off x="2190749" y="4071937"/>
            <a:ext cx="12156283" cy="4524375"/>
            <a:chOff x="2226468" y="1631157"/>
            <a:chExt cx="5274469" cy="3036094"/>
          </a:xfrm>
        </xdr:grpSpPr>
        <xdr:sp macro="" textlink="">
          <xdr:nvSpPr>
            <xdr:cNvPr id="20" name="Retângulo: Cantos Arredondados 19">
              <a:extLst>
                <a:ext uri="{FF2B5EF4-FFF2-40B4-BE49-F238E27FC236}">
                  <a16:creationId xmlns:a16="http://schemas.microsoft.com/office/drawing/2014/main" id="{C49E326C-0E46-4F34-80BA-A06299107823}"/>
                </a:ext>
              </a:extLst>
            </xdr:cNvPr>
            <xdr:cNvSpPr/>
          </xdr:nvSpPr>
          <xdr:spPr>
            <a:xfrm>
              <a:off x="2226468" y="1631157"/>
              <a:ext cx="5274469" cy="3036094"/>
            </a:xfrm>
            <a:prstGeom prst="roundRect">
              <a:avLst>
                <a:gd name="adj" fmla="val 6517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21" name="Gráfico 20">
              <a:extLst>
                <a:ext uri="{FF2B5EF4-FFF2-40B4-BE49-F238E27FC236}">
                  <a16:creationId xmlns:a16="http://schemas.microsoft.com/office/drawing/2014/main" id="{3E91F755-0948-4570-A296-E6A144781C98}"/>
                </a:ext>
              </a:extLst>
            </xdr:cNvPr>
            <xdr:cNvGraphicFramePr>
              <a:graphicFrameLocks/>
            </xdr:cNvGraphicFramePr>
          </xdr:nvGraphicFramePr>
          <xdr:xfrm>
            <a:off x="2267949" y="1797846"/>
            <a:ext cx="5056799" cy="267271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19" name="Retângulo: Cantos Superiores Arredondados 18">
            <a:extLst>
              <a:ext uri="{FF2B5EF4-FFF2-40B4-BE49-F238E27FC236}">
                <a16:creationId xmlns:a16="http://schemas.microsoft.com/office/drawing/2014/main" id="{84CEA812-1E3E-48D9-B87F-4834B72F0F10}"/>
              </a:ext>
            </a:extLst>
          </xdr:cNvPr>
          <xdr:cNvSpPr/>
        </xdr:nvSpPr>
        <xdr:spPr>
          <a:xfrm>
            <a:off x="2166937" y="4060032"/>
            <a:ext cx="12191999" cy="392906"/>
          </a:xfrm>
          <a:prstGeom prst="round2SameRect">
            <a:avLst>
              <a:gd name="adj1" fmla="val 42473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SUBSCRIPTIONES XBOX GAME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0</xdr:col>
      <xdr:colOff>671513</xdr:colOff>
      <xdr:row>2</xdr:row>
      <xdr:rowOff>304802</xdr:rowOff>
    </xdr:from>
    <xdr:to>
      <xdr:col>0</xdr:col>
      <xdr:colOff>1504951</xdr:colOff>
      <xdr:row>7</xdr:row>
      <xdr:rowOff>90488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44450866-81A4-450B-864B-45EB28330277}"/>
            </a:ext>
          </a:extLst>
        </xdr:cNvPr>
        <xdr:cNvSpPr/>
      </xdr:nvSpPr>
      <xdr:spPr>
        <a:xfrm>
          <a:off x="671513" y="1066802"/>
          <a:ext cx="833438" cy="833436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361950</xdr:colOff>
      <xdr:row>7</xdr:row>
      <xdr:rowOff>114299</xdr:rowOff>
    </xdr:from>
    <xdr:to>
      <xdr:col>1</xdr:col>
      <xdr:colOff>47625</xdr:colOff>
      <xdr:row>7</xdr:row>
      <xdr:rowOff>376237</xdr:rowOff>
    </xdr:to>
    <xdr:sp macro="" textlink="">
      <xdr:nvSpPr>
        <xdr:cNvPr id="23" name="Retângulo: Cantos Arredondados 22">
          <a:extLst>
            <a:ext uri="{FF2B5EF4-FFF2-40B4-BE49-F238E27FC236}">
              <a16:creationId xmlns:a16="http://schemas.microsoft.com/office/drawing/2014/main" id="{EABE226F-B853-44E6-80CB-668EBE7B4A48}"/>
            </a:ext>
          </a:extLst>
        </xdr:cNvPr>
        <xdr:cNvSpPr/>
      </xdr:nvSpPr>
      <xdr:spPr>
        <a:xfrm>
          <a:off x="361950" y="1924049"/>
          <a:ext cx="1762125" cy="26193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/>
            <a:t>&gt; Bem</a:t>
          </a:r>
          <a:r>
            <a:rPr lang="pt-BR" sz="1100" b="1" baseline="0"/>
            <a:t> vinda, Eliana</a:t>
          </a:r>
          <a:endParaRPr lang="pt-BR" sz="1100" b="1"/>
        </a:p>
      </xdr:txBody>
    </xdr:sp>
    <xdr:clientData/>
  </xdr:twoCellAnchor>
  <xdr:twoCellAnchor editAs="absolute">
    <xdr:from>
      <xdr:col>1</xdr:col>
      <xdr:colOff>238125</xdr:colOff>
      <xdr:row>4</xdr:row>
      <xdr:rowOff>47624</xdr:rowOff>
    </xdr:from>
    <xdr:to>
      <xdr:col>18</xdr:col>
      <xdr:colOff>357188</xdr:colOff>
      <xdr:row>6</xdr:row>
      <xdr:rowOff>83343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379C56EF-188A-461F-8813-387F5E624E6E}"/>
            </a:ext>
          </a:extLst>
        </xdr:cNvPr>
        <xdr:cNvSpPr/>
      </xdr:nvSpPr>
      <xdr:spPr>
        <a:xfrm>
          <a:off x="2305050" y="1457324"/>
          <a:ext cx="11187113" cy="26431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0">
              <a:solidFill>
                <a:schemeClr val="bg1">
                  <a:lumMod val="50000"/>
                </a:schemeClr>
              </a:solidFill>
            </a:rPr>
            <a:t>Calculation period</a:t>
          </a:r>
          <a:r>
            <a:rPr lang="pt-BR" sz="1100" b="0" baseline="0">
              <a:solidFill>
                <a:schemeClr val="bg1">
                  <a:lumMod val="50000"/>
                </a:schemeClr>
              </a:solidFill>
            </a:rPr>
            <a:t>:01/01/2024 -31/12/2024  | Update date: 25/12/2024     09:00:00</a:t>
          </a:r>
          <a:endParaRPr lang="pt-BR" sz="1100" b="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25</xdr:col>
      <xdr:colOff>511969</xdr:colOff>
      <xdr:row>16</xdr:row>
      <xdr:rowOff>83344</xdr:rowOff>
    </xdr:from>
    <xdr:to>
      <xdr:col>35</xdr:col>
      <xdr:colOff>154782</xdr:colOff>
      <xdr:row>38</xdr:row>
      <xdr:rowOff>107157</xdr:rowOff>
    </xdr:to>
    <xdr:grpSp>
      <xdr:nvGrpSpPr>
        <xdr:cNvPr id="36" name="Agrupar 35">
          <a:extLst>
            <a:ext uri="{FF2B5EF4-FFF2-40B4-BE49-F238E27FC236}">
              <a16:creationId xmlns:a16="http://schemas.microsoft.com/office/drawing/2014/main" id="{63F8EDD1-BB01-4544-956A-54F15BD7E777}"/>
            </a:ext>
          </a:extLst>
        </xdr:cNvPr>
        <xdr:cNvGrpSpPr/>
      </xdr:nvGrpSpPr>
      <xdr:grpSpPr>
        <a:xfrm>
          <a:off x="18476119" y="3836194"/>
          <a:ext cx="6500813" cy="4214813"/>
          <a:chOff x="8370093" y="4036219"/>
          <a:chExt cx="6548438" cy="3952875"/>
        </a:xfrm>
      </xdr:grpSpPr>
      <xdr:grpSp>
        <xdr:nvGrpSpPr>
          <xdr:cNvPr id="28" name="Agrupar 27">
            <a:extLst>
              <a:ext uri="{FF2B5EF4-FFF2-40B4-BE49-F238E27FC236}">
                <a16:creationId xmlns:a16="http://schemas.microsoft.com/office/drawing/2014/main" id="{783B7353-45FA-418C-8CA1-47D2475731DA}"/>
              </a:ext>
            </a:extLst>
          </xdr:cNvPr>
          <xdr:cNvGrpSpPr/>
        </xdr:nvGrpSpPr>
        <xdr:grpSpPr>
          <a:xfrm>
            <a:off x="8370093" y="4036219"/>
            <a:ext cx="6548438" cy="3952875"/>
            <a:chOff x="16656844" y="6274594"/>
            <a:chExt cx="12584522" cy="4526750"/>
          </a:xfrm>
        </xdr:grpSpPr>
        <xdr:sp macro="" textlink="">
          <xdr:nvSpPr>
            <xdr:cNvPr id="26" name="Retângulo: Cantos Arredondados 25">
              <a:extLst>
                <a:ext uri="{FF2B5EF4-FFF2-40B4-BE49-F238E27FC236}">
                  <a16:creationId xmlns:a16="http://schemas.microsoft.com/office/drawing/2014/main" id="{EBEFD7EC-1D3C-4EC3-8833-B36BA826AF7A}"/>
                </a:ext>
              </a:extLst>
            </xdr:cNvPr>
            <xdr:cNvSpPr/>
          </xdr:nvSpPr>
          <xdr:spPr>
            <a:xfrm>
              <a:off x="16656844" y="6274594"/>
              <a:ext cx="12547655" cy="4526750"/>
            </a:xfrm>
            <a:prstGeom prst="roundRect">
              <a:avLst>
                <a:gd name="adj" fmla="val 6517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7" name="Retângulo: Cantos Superiores Arredondados 26">
              <a:extLst>
                <a:ext uri="{FF2B5EF4-FFF2-40B4-BE49-F238E27FC236}">
                  <a16:creationId xmlns:a16="http://schemas.microsoft.com/office/drawing/2014/main" id="{E0F83654-E6D7-48C9-B7E5-B6DC07E6EF3C}"/>
                </a:ext>
              </a:extLst>
            </xdr:cNvPr>
            <xdr:cNvSpPr/>
          </xdr:nvSpPr>
          <xdr:spPr>
            <a:xfrm>
              <a:off x="16656844" y="6274594"/>
              <a:ext cx="12584522" cy="393112"/>
            </a:xfrm>
            <a:prstGeom prst="round2SameRect">
              <a:avLst>
                <a:gd name="adj1" fmla="val 42473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REVENUE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BY PLAN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aphicFrame macro="">
        <xdr:nvGraphicFramePr>
          <xdr:cNvPr id="25" name="Gráfico 24">
            <a:extLst>
              <a:ext uri="{FF2B5EF4-FFF2-40B4-BE49-F238E27FC236}">
                <a16:creationId xmlns:a16="http://schemas.microsoft.com/office/drawing/2014/main" id="{496D01CE-1C6F-4C13-AC99-A21B65A77763}"/>
              </a:ext>
            </a:extLst>
          </xdr:cNvPr>
          <xdr:cNvGraphicFramePr>
            <a:graphicFrameLocks/>
          </xdr:cNvGraphicFramePr>
        </xdr:nvGraphicFramePr>
        <xdr:xfrm>
          <a:off x="8667749" y="4667250"/>
          <a:ext cx="5976937" cy="307181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  <xdr:twoCellAnchor>
    <xdr:from>
      <xdr:col>13</xdr:col>
      <xdr:colOff>317008</xdr:colOff>
      <xdr:row>16</xdr:row>
      <xdr:rowOff>80367</xdr:rowOff>
    </xdr:from>
    <xdr:to>
      <xdr:col>23</xdr:col>
      <xdr:colOff>635491</xdr:colOff>
      <xdr:row>38</xdr:row>
      <xdr:rowOff>110133</xdr:rowOff>
    </xdr:to>
    <xdr:grpSp>
      <xdr:nvGrpSpPr>
        <xdr:cNvPr id="35" name="Agrupar 34">
          <a:extLst>
            <a:ext uri="{FF2B5EF4-FFF2-40B4-BE49-F238E27FC236}">
              <a16:creationId xmlns:a16="http://schemas.microsoft.com/office/drawing/2014/main" id="{10E79173-CD2F-4273-A811-3678AA710DA7}"/>
            </a:ext>
          </a:extLst>
        </xdr:cNvPr>
        <xdr:cNvGrpSpPr/>
      </xdr:nvGrpSpPr>
      <xdr:grpSpPr>
        <a:xfrm>
          <a:off x="10051558" y="3833217"/>
          <a:ext cx="7176483" cy="4220766"/>
          <a:chOff x="1774031" y="8165307"/>
          <a:chExt cx="6774656" cy="3869530"/>
        </a:xfrm>
      </xdr:grpSpPr>
      <xdr:grpSp>
        <xdr:nvGrpSpPr>
          <xdr:cNvPr id="30" name="Agrupar 29">
            <a:extLst>
              <a:ext uri="{FF2B5EF4-FFF2-40B4-BE49-F238E27FC236}">
                <a16:creationId xmlns:a16="http://schemas.microsoft.com/office/drawing/2014/main" id="{B660EE2B-4E20-4248-9D3F-78BF6496A05F}"/>
              </a:ext>
            </a:extLst>
          </xdr:cNvPr>
          <xdr:cNvGrpSpPr/>
        </xdr:nvGrpSpPr>
        <xdr:grpSpPr>
          <a:xfrm>
            <a:off x="2212181" y="8165307"/>
            <a:ext cx="6078157" cy="3869530"/>
            <a:chOff x="2166937" y="4060032"/>
            <a:chExt cx="12191999" cy="4536280"/>
          </a:xfrm>
        </xdr:grpSpPr>
        <xdr:sp macro="" textlink="">
          <xdr:nvSpPr>
            <xdr:cNvPr id="33" name="Retângulo: Cantos Arredondados 32">
              <a:extLst>
                <a:ext uri="{FF2B5EF4-FFF2-40B4-BE49-F238E27FC236}">
                  <a16:creationId xmlns:a16="http://schemas.microsoft.com/office/drawing/2014/main" id="{B1D4310E-A806-4E4F-8A03-0034E05392B8}"/>
                </a:ext>
              </a:extLst>
            </xdr:cNvPr>
            <xdr:cNvSpPr/>
          </xdr:nvSpPr>
          <xdr:spPr>
            <a:xfrm>
              <a:off x="2190749" y="4071937"/>
              <a:ext cx="12156282" cy="4524375"/>
            </a:xfrm>
            <a:prstGeom prst="roundRect">
              <a:avLst>
                <a:gd name="adj" fmla="val 6517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32" name="Retângulo: Cantos Superiores Arredondados 31">
              <a:extLst>
                <a:ext uri="{FF2B5EF4-FFF2-40B4-BE49-F238E27FC236}">
                  <a16:creationId xmlns:a16="http://schemas.microsoft.com/office/drawing/2014/main" id="{1FF4F566-162B-4A25-A325-CD02AC814671}"/>
                </a:ext>
              </a:extLst>
            </xdr:cNvPr>
            <xdr:cNvSpPr/>
          </xdr:nvSpPr>
          <xdr:spPr>
            <a:xfrm>
              <a:off x="2166937" y="4060032"/>
              <a:ext cx="12191999" cy="392906"/>
            </a:xfrm>
            <a:prstGeom prst="round2SameRect">
              <a:avLst>
                <a:gd name="adj1" fmla="val 42473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SUBSCRIPTION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TYPE DISTRIBUITION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aphicFrame macro="">
        <xdr:nvGraphicFramePr>
          <xdr:cNvPr id="29" name="Gráfico 28">
            <a:extLst>
              <a:ext uri="{FF2B5EF4-FFF2-40B4-BE49-F238E27FC236}">
                <a16:creationId xmlns:a16="http://schemas.microsoft.com/office/drawing/2014/main" id="{083973F0-C1E5-427D-BA74-D93277B7A1D3}"/>
              </a:ext>
            </a:extLst>
          </xdr:cNvPr>
          <xdr:cNvGraphicFramePr>
            <a:graphicFrameLocks/>
          </xdr:cNvGraphicFramePr>
        </xdr:nvGraphicFramePr>
        <xdr:xfrm>
          <a:off x="1774031" y="8465343"/>
          <a:ext cx="6774656" cy="354806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</xdr:grpSp>
    <xdr:clientData/>
  </xdr:twoCellAnchor>
  <xdr:twoCellAnchor>
    <xdr:from>
      <xdr:col>13</xdr:col>
      <xdr:colOff>659606</xdr:colOff>
      <xdr:row>40</xdr:row>
      <xdr:rowOff>28575</xdr:rowOff>
    </xdr:from>
    <xdr:to>
      <xdr:col>23</xdr:col>
      <xdr:colOff>302419</xdr:colOff>
      <xdr:row>62</xdr:row>
      <xdr:rowOff>52388</xdr:rowOff>
    </xdr:to>
    <xdr:grpSp>
      <xdr:nvGrpSpPr>
        <xdr:cNvPr id="57" name="Agrupar 56">
          <a:extLst>
            <a:ext uri="{FF2B5EF4-FFF2-40B4-BE49-F238E27FC236}">
              <a16:creationId xmlns:a16="http://schemas.microsoft.com/office/drawing/2014/main" id="{80B1BF98-69C0-49A2-A66E-FF5EC4D6B238}"/>
            </a:ext>
          </a:extLst>
        </xdr:cNvPr>
        <xdr:cNvGrpSpPr/>
      </xdr:nvGrpSpPr>
      <xdr:grpSpPr>
        <a:xfrm>
          <a:off x="10394156" y="8353425"/>
          <a:ext cx="6500813" cy="4214813"/>
          <a:chOff x="15275719" y="4036219"/>
          <a:chExt cx="6548438" cy="3952875"/>
        </a:xfrm>
      </xdr:grpSpPr>
      <xdr:grpSp>
        <xdr:nvGrpSpPr>
          <xdr:cNvPr id="42" name="Agrupar 41">
            <a:extLst>
              <a:ext uri="{FF2B5EF4-FFF2-40B4-BE49-F238E27FC236}">
                <a16:creationId xmlns:a16="http://schemas.microsoft.com/office/drawing/2014/main" id="{F2952C86-EA0C-4D75-A2D4-1784A9542900}"/>
              </a:ext>
            </a:extLst>
          </xdr:cNvPr>
          <xdr:cNvGrpSpPr/>
        </xdr:nvGrpSpPr>
        <xdr:grpSpPr>
          <a:xfrm>
            <a:off x="15275719" y="4036219"/>
            <a:ext cx="6548438" cy="3952875"/>
            <a:chOff x="16656844" y="6274594"/>
            <a:chExt cx="12584522" cy="4526750"/>
          </a:xfrm>
        </xdr:grpSpPr>
        <xdr:sp macro="" textlink="">
          <xdr:nvSpPr>
            <xdr:cNvPr id="43" name="Retângulo: Cantos Arredondados 42">
              <a:extLst>
                <a:ext uri="{FF2B5EF4-FFF2-40B4-BE49-F238E27FC236}">
                  <a16:creationId xmlns:a16="http://schemas.microsoft.com/office/drawing/2014/main" id="{57D9B43C-B55E-4860-93AD-A2C6435D31CE}"/>
                </a:ext>
              </a:extLst>
            </xdr:cNvPr>
            <xdr:cNvSpPr/>
          </xdr:nvSpPr>
          <xdr:spPr>
            <a:xfrm>
              <a:off x="16656844" y="6274594"/>
              <a:ext cx="12547655" cy="4526750"/>
            </a:xfrm>
            <a:prstGeom prst="roundRect">
              <a:avLst>
                <a:gd name="adj" fmla="val 6517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44" name="Retângulo: Cantos Superiores Arredondados 43">
              <a:extLst>
                <a:ext uri="{FF2B5EF4-FFF2-40B4-BE49-F238E27FC236}">
                  <a16:creationId xmlns:a16="http://schemas.microsoft.com/office/drawing/2014/main" id="{A369DC43-5CE7-4339-A3C2-1A26CD46722F}"/>
                </a:ext>
              </a:extLst>
            </xdr:cNvPr>
            <xdr:cNvSpPr/>
          </xdr:nvSpPr>
          <xdr:spPr>
            <a:xfrm>
              <a:off x="16656844" y="6274594"/>
              <a:ext cx="12584522" cy="393112"/>
            </a:xfrm>
            <a:prstGeom prst="round2SameRect">
              <a:avLst>
                <a:gd name="adj1" fmla="val 42473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ADDONS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REVENUE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aphicFrame macro="">
        <xdr:nvGraphicFramePr>
          <xdr:cNvPr id="54" name="Gráfico 53">
            <a:extLst>
              <a:ext uri="{FF2B5EF4-FFF2-40B4-BE49-F238E27FC236}">
                <a16:creationId xmlns:a16="http://schemas.microsoft.com/office/drawing/2014/main" id="{1369A406-E9FA-4A14-9302-98103C4E0FCE}"/>
              </a:ext>
            </a:extLst>
          </xdr:cNvPr>
          <xdr:cNvGraphicFramePr>
            <a:graphicFrameLocks/>
          </xdr:cNvGraphicFramePr>
        </xdr:nvGraphicFramePr>
        <xdr:xfrm>
          <a:off x="15478125" y="4538662"/>
          <a:ext cx="2893219" cy="32242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graphicFrame macro="">
        <xdr:nvGraphicFramePr>
          <xdr:cNvPr id="55" name="Gráfico 54">
            <a:extLst>
              <a:ext uri="{FF2B5EF4-FFF2-40B4-BE49-F238E27FC236}">
                <a16:creationId xmlns:a16="http://schemas.microsoft.com/office/drawing/2014/main" id="{61E9539D-B058-4233-8D8A-6BA049862AA4}"/>
              </a:ext>
            </a:extLst>
          </xdr:cNvPr>
          <xdr:cNvGraphicFramePr>
            <a:graphicFrameLocks/>
          </xdr:cNvGraphicFramePr>
        </xdr:nvGraphicFramePr>
        <xdr:xfrm>
          <a:off x="18638045" y="4560093"/>
          <a:ext cx="2852736" cy="316706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</xdr:grpSp>
    <xdr:clientData/>
  </xdr:twoCellAnchor>
  <xdr:twoCellAnchor>
    <xdr:from>
      <xdr:col>25</xdr:col>
      <xdr:colOff>569119</xdr:colOff>
      <xdr:row>40</xdr:row>
      <xdr:rowOff>28575</xdr:rowOff>
    </xdr:from>
    <xdr:to>
      <xdr:col>35</xdr:col>
      <xdr:colOff>211932</xdr:colOff>
      <xdr:row>62</xdr:row>
      <xdr:rowOff>52388</xdr:rowOff>
    </xdr:to>
    <xdr:grpSp>
      <xdr:nvGrpSpPr>
        <xdr:cNvPr id="58" name="Agrupar 57">
          <a:extLst>
            <a:ext uri="{FF2B5EF4-FFF2-40B4-BE49-F238E27FC236}">
              <a16:creationId xmlns:a16="http://schemas.microsoft.com/office/drawing/2014/main" id="{01E3074F-9550-4193-BEFC-AAF1212581DF}"/>
            </a:ext>
          </a:extLst>
        </xdr:cNvPr>
        <xdr:cNvGrpSpPr/>
      </xdr:nvGrpSpPr>
      <xdr:grpSpPr>
        <a:xfrm>
          <a:off x="18533269" y="8353425"/>
          <a:ext cx="6500813" cy="4214813"/>
          <a:chOff x="8439150" y="8153400"/>
          <a:chExt cx="6548438" cy="3952875"/>
        </a:xfrm>
      </xdr:grpSpPr>
      <xdr:grpSp>
        <xdr:nvGrpSpPr>
          <xdr:cNvPr id="38" name="Agrupar 37">
            <a:extLst>
              <a:ext uri="{FF2B5EF4-FFF2-40B4-BE49-F238E27FC236}">
                <a16:creationId xmlns:a16="http://schemas.microsoft.com/office/drawing/2014/main" id="{09C2FC5E-A953-4EEE-9658-E3B10E9143A3}"/>
              </a:ext>
            </a:extLst>
          </xdr:cNvPr>
          <xdr:cNvGrpSpPr/>
        </xdr:nvGrpSpPr>
        <xdr:grpSpPr>
          <a:xfrm>
            <a:off x="8439150" y="8153400"/>
            <a:ext cx="6548438" cy="3952875"/>
            <a:chOff x="16656844" y="6274594"/>
            <a:chExt cx="12584522" cy="4526750"/>
          </a:xfrm>
        </xdr:grpSpPr>
        <xdr:sp macro="" textlink="">
          <xdr:nvSpPr>
            <xdr:cNvPr id="40" name="Retângulo: Cantos Arredondados 39">
              <a:extLst>
                <a:ext uri="{FF2B5EF4-FFF2-40B4-BE49-F238E27FC236}">
                  <a16:creationId xmlns:a16="http://schemas.microsoft.com/office/drawing/2014/main" id="{635BD9B9-A305-42F4-BB57-F216E30BBA0A}"/>
                </a:ext>
              </a:extLst>
            </xdr:cNvPr>
            <xdr:cNvSpPr/>
          </xdr:nvSpPr>
          <xdr:spPr>
            <a:xfrm>
              <a:off x="16656844" y="6274594"/>
              <a:ext cx="12547655" cy="4526750"/>
            </a:xfrm>
            <a:prstGeom prst="roundRect">
              <a:avLst>
                <a:gd name="adj" fmla="val 6517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41" name="Retângulo: Cantos Superiores Arredondados 40">
              <a:extLst>
                <a:ext uri="{FF2B5EF4-FFF2-40B4-BE49-F238E27FC236}">
                  <a16:creationId xmlns:a16="http://schemas.microsoft.com/office/drawing/2014/main" id="{189F347A-8552-4CC0-A7B4-218FA7AFAD05}"/>
                </a:ext>
              </a:extLst>
            </xdr:cNvPr>
            <xdr:cNvSpPr/>
          </xdr:nvSpPr>
          <xdr:spPr>
            <a:xfrm>
              <a:off x="16656844" y="6274595"/>
              <a:ext cx="12584522" cy="393113"/>
            </a:xfrm>
            <a:prstGeom prst="round2SameRect">
              <a:avLst>
                <a:gd name="adj1" fmla="val 42473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REVENUE WITH VS WITHOUT COUPON</a:t>
              </a:r>
            </a:p>
          </xdr:txBody>
        </xdr:sp>
      </xdr:grpSp>
      <xdr:graphicFrame macro="">
        <xdr:nvGraphicFramePr>
          <xdr:cNvPr id="56" name="Gráfico 55">
            <a:extLst>
              <a:ext uri="{FF2B5EF4-FFF2-40B4-BE49-F238E27FC236}">
                <a16:creationId xmlns:a16="http://schemas.microsoft.com/office/drawing/2014/main" id="{CD355082-0BC8-4E8D-948E-F39838F6E120}"/>
              </a:ext>
            </a:extLst>
          </xdr:cNvPr>
          <xdr:cNvGraphicFramePr>
            <a:graphicFrameLocks/>
          </xdr:cNvGraphicFramePr>
        </xdr:nvGraphicFramePr>
        <xdr:xfrm>
          <a:off x="8774906" y="8643938"/>
          <a:ext cx="5822155" cy="325040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</xdr:grpSp>
    <xdr:clientData/>
  </xdr:twoCellAnchor>
  <xdr:twoCellAnchor>
    <xdr:from>
      <xdr:col>1</xdr:col>
      <xdr:colOff>142874</xdr:colOff>
      <xdr:row>40</xdr:row>
      <xdr:rowOff>28575</xdr:rowOff>
    </xdr:from>
    <xdr:to>
      <xdr:col>11</xdr:col>
      <xdr:colOff>202406</xdr:colOff>
      <xdr:row>62</xdr:row>
      <xdr:rowOff>52388</xdr:rowOff>
    </xdr:to>
    <xdr:grpSp>
      <xdr:nvGrpSpPr>
        <xdr:cNvPr id="84" name="Agrupar 83">
          <a:extLst>
            <a:ext uri="{FF2B5EF4-FFF2-40B4-BE49-F238E27FC236}">
              <a16:creationId xmlns:a16="http://schemas.microsoft.com/office/drawing/2014/main" id="{A996F331-D5DA-4841-90CB-484C8B19535E}"/>
            </a:ext>
          </a:extLst>
        </xdr:cNvPr>
        <xdr:cNvGrpSpPr/>
      </xdr:nvGrpSpPr>
      <xdr:grpSpPr>
        <a:xfrm>
          <a:off x="2219324" y="8353425"/>
          <a:ext cx="6517482" cy="4214813"/>
          <a:chOff x="15144750" y="10048875"/>
          <a:chExt cx="6548438" cy="3952875"/>
        </a:xfrm>
      </xdr:grpSpPr>
      <xdr:grpSp>
        <xdr:nvGrpSpPr>
          <xdr:cNvPr id="45" name="Agrupar 44">
            <a:extLst>
              <a:ext uri="{FF2B5EF4-FFF2-40B4-BE49-F238E27FC236}">
                <a16:creationId xmlns:a16="http://schemas.microsoft.com/office/drawing/2014/main" id="{17326B76-9F1E-49EE-A126-12088A2508FD}"/>
              </a:ext>
            </a:extLst>
          </xdr:cNvPr>
          <xdr:cNvGrpSpPr/>
        </xdr:nvGrpSpPr>
        <xdr:grpSpPr>
          <a:xfrm>
            <a:off x="15144750" y="10048875"/>
            <a:ext cx="6548438" cy="3952875"/>
            <a:chOff x="16656844" y="6274594"/>
            <a:chExt cx="12584522" cy="4526750"/>
          </a:xfrm>
        </xdr:grpSpPr>
        <xdr:sp macro="" textlink="">
          <xdr:nvSpPr>
            <xdr:cNvPr id="46" name="Retângulo: Cantos Arredondados 45">
              <a:extLst>
                <a:ext uri="{FF2B5EF4-FFF2-40B4-BE49-F238E27FC236}">
                  <a16:creationId xmlns:a16="http://schemas.microsoft.com/office/drawing/2014/main" id="{292C86BB-5FC7-4533-A3D7-5E33AD88B6E4}"/>
                </a:ext>
              </a:extLst>
            </xdr:cNvPr>
            <xdr:cNvSpPr/>
          </xdr:nvSpPr>
          <xdr:spPr>
            <a:xfrm>
              <a:off x="16656844" y="6274594"/>
              <a:ext cx="12547655" cy="4526750"/>
            </a:xfrm>
            <a:prstGeom prst="roundRect">
              <a:avLst>
                <a:gd name="adj" fmla="val 6517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47" name="Retângulo: Cantos Superiores Arredondados 46">
              <a:extLst>
                <a:ext uri="{FF2B5EF4-FFF2-40B4-BE49-F238E27FC236}">
                  <a16:creationId xmlns:a16="http://schemas.microsoft.com/office/drawing/2014/main" id="{3825F3C3-904F-411C-9F58-86FB06627768}"/>
                </a:ext>
              </a:extLst>
            </xdr:cNvPr>
            <xdr:cNvSpPr/>
          </xdr:nvSpPr>
          <xdr:spPr>
            <a:xfrm>
              <a:off x="16656844" y="6274594"/>
              <a:ext cx="12584522" cy="393112"/>
            </a:xfrm>
            <a:prstGeom prst="round2SameRect">
              <a:avLst>
                <a:gd name="adj1" fmla="val 42473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SALES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OVER TIME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aphicFrame macro="">
        <xdr:nvGraphicFramePr>
          <xdr:cNvPr id="60" name="Gráfico 59">
            <a:extLst>
              <a:ext uri="{FF2B5EF4-FFF2-40B4-BE49-F238E27FC236}">
                <a16:creationId xmlns:a16="http://schemas.microsoft.com/office/drawing/2014/main" id="{E0143E4E-258F-4958-8256-4C8B1B9A31F8}"/>
              </a:ext>
            </a:extLst>
          </xdr:cNvPr>
          <xdr:cNvGraphicFramePr>
            <a:graphicFrameLocks/>
          </xdr:cNvGraphicFramePr>
        </xdr:nvGraphicFramePr>
        <xdr:xfrm>
          <a:off x="15263814" y="10477502"/>
          <a:ext cx="6298404" cy="33575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</xdr:grpSp>
    <xdr:clientData/>
  </xdr:twoCellAnchor>
  <xdr:twoCellAnchor>
    <xdr:from>
      <xdr:col>14</xdr:col>
      <xdr:colOff>211932</xdr:colOff>
      <xdr:row>65</xdr:row>
      <xdr:rowOff>11907</xdr:rowOff>
    </xdr:from>
    <xdr:to>
      <xdr:col>23</xdr:col>
      <xdr:colOff>75026</xdr:colOff>
      <xdr:row>86</xdr:row>
      <xdr:rowOff>130968</xdr:rowOff>
    </xdr:to>
    <xdr:grpSp>
      <xdr:nvGrpSpPr>
        <xdr:cNvPr id="102" name="Agrupar 101">
          <a:extLst>
            <a:ext uri="{FF2B5EF4-FFF2-40B4-BE49-F238E27FC236}">
              <a16:creationId xmlns:a16="http://schemas.microsoft.com/office/drawing/2014/main" id="{2A36A833-A11A-477D-A9F0-CD2350213E6D}"/>
            </a:ext>
          </a:extLst>
        </xdr:cNvPr>
        <xdr:cNvGrpSpPr/>
      </xdr:nvGrpSpPr>
      <xdr:grpSpPr>
        <a:xfrm>
          <a:off x="10632282" y="13099257"/>
          <a:ext cx="6035294" cy="4119561"/>
          <a:chOff x="11260931" y="12382500"/>
          <a:chExt cx="6078157" cy="3869530"/>
        </a:xfrm>
      </xdr:grpSpPr>
      <xdr:grpSp>
        <xdr:nvGrpSpPr>
          <xdr:cNvPr id="63" name="Agrupar 62">
            <a:extLst>
              <a:ext uri="{FF2B5EF4-FFF2-40B4-BE49-F238E27FC236}">
                <a16:creationId xmlns:a16="http://schemas.microsoft.com/office/drawing/2014/main" id="{A61F8850-EA90-45AB-B116-9B6D5B048A18}"/>
              </a:ext>
            </a:extLst>
          </xdr:cNvPr>
          <xdr:cNvGrpSpPr/>
        </xdr:nvGrpSpPr>
        <xdr:grpSpPr>
          <a:xfrm>
            <a:off x="11260931" y="12382500"/>
            <a:ext cx="6078157" cy="3869530"/>
            <a:chOff x="2166937" y="4060032"/>
            <a:chExt cx="12191999" cy="4536280"/>
          </a:xfrm>
        </xdr:grpSpPr>
        <xdr:sp macro="" textlink="">
          <xdr:nvSpPr>
            <xdr:cNvPr id="65" name="Retângulo: Cantos Arredondados 64">
              <a:extLst>
                <a:ext uri="{FF2B5EF4-FFF2-40B4-BE49-F238E27FC236}">
                  <a16:creationId xmlns:a16="http://schemas.microsoft.com/office/drawing/2014/main" id="{2228803F-0239-42BE-B589-BB00D69C78CB}"/>
                </a:ext>
              </a:extLst>
            </xdr:cNvPr>
            <xdr:cNvSpPr/>
          </xdr:nvSpPr>
          <xdr:spPr>
            <a:xfrm>
              <a:off x="2190749" y="4071937"/>
              <a:ext cx="12156282" cy="4524375"/>
            </a:xfrm>
            <a:prstGeom prst="roundRect">
              <a:avLst>
                <a:gd name="adj" fmla="val 6517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66" name="Retângulo: Cantos Superiores Arredondados 65">
              <a:extLst>
                <a:ext uri="{FF2B5EF4-FFF2-40B4-BE49-F238E27FC236}">
                  <a16:creationId xmlns:a16="http://schemas.microsoft.com/office/drawing/2014/main" id="{E4E7DE46-A96C-4134-8910-E15AF82394FA}"/>
                </a:ext>
              </a:extLst>
            </xdr:cNvPr>
            <xdr:cNvSpPr/>
          </xdr:nvSpPr>
          <xdr:spPr>
            <a:xfrm>
              <a:off x="2166937" y="4060032"/>
              <a:ext cx="12191999" cy="392906"/>
            </a:xfrm>
            <a:prstGeom prst="round2SameRect">
              <a:avLst>
                <a:gd name="adj1" fmla="val 42473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REVENUE FROM AUTOMATIC RENEWAL</a:t>
              </a:r>
            </a:p>
          </xdr:txBody>
        </xdr:sp>
      </xdr:grpSp>
      <xdr:graphicFrame macro="">
        <xdr:nvGraphicFramePr>
          <xdr:cNvPr id="67" name="Gráfico 66">
            <a:extLst>
              <a:ext uri="{FF2B5EF4-FFF2-40B4-BE49-F238E27FC236}">
                <a16:creationId xmlns:a16="http://schemas.microsoft.com/office/drawing/2014/main" id="{370CEDBA-8CA1-47D7-B6ED-2A7B67E48908}"/>
              </a:ext>
            </a:extLst>
          </xdr:cNvPr>
          <xdr:cNvGraphicFramePr>
            <a:graphicFrameLocks/>
          </xdr:cNvGraphicFramePr>
        </xdr:nvGraphicFramePr>
        <xdr:xfrm>
          <a:off x="11382375" y="12989717"/>
          <a:ext cx="5822156" cy="304085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</xdr:grpSp>
    <xdr:clientData/>
  </xdr:twoCellAnchor>
  <xdr:twoCellAnchor>
    <xdr:from>
      <xdr:col>2</xdr:col>
      <xdr:colOff>33340</xdr:colOff>
      <xdr:row>8</xdr:row>
      <xdr:rowOff>16348</xdr:rowOff>
    </xdr:from>
    <xdr:to>
      <xdr:col>8</xdr:col>
      <xdr:colOff>83357</xdr:colOff>
      <xdr:row>15</xdr:row>
      <xdr:rowOff>100884</xdr:rowOff>
    </xdr:to>
    <xdr:grpSp>
      <xdr:nvGrpSpPr>
        <xdr:cNvPr id="73" name="Agrupar 72">
          <a:extLst>
            <a:ext uri="{FF2B5EF4-FFF2-40B4-BE49-F238E27FC236}">
              <a16:creationId xmlns:a16="http://schemas.microsoft.com/office/drawing/2014/main" id="{13941357-C18D-43BE-BD2E-97919C3379FA}"/>
            </a:ext>
          </a:extLst>
        </xdr:cNvPr>
        <xdr:cNvGrpSpPr/>
      </xdr:nvGrpSpPr>
      <xdr:grpSpPr>
        <a:xfrm>
          <a:off x="2395540" y="2245198"/>
          <a:ext cx="4164817" cy="1418036"/>
          <a:chOff x="10856120" y="1853802"/>
          <a:chExt cx="4193392" cy="1334692"/>
        </a:xfrm>
      </xdr:grpSpPr>
      <xdr:sp macro="" textlink="">
        <xdr:nvSpPr>
          <xdr:cNvPr id="69" name="Retângulo: Cantos Arredondados 68">
            <a:extLst>
              <a:ext uri="{FF2B5EF4-FFF2-40B4-BE49-F238E27FC236}">
                <a16:creationId xmlns:a16="http://schemas.microsoft.com/office/drawing/2014/main" id="{4AA2A22A-6161-4522-A854-2F34991C42CD}"/>
              </a:ext>
            </a:extLst>
          </xdr:cNvPr>
          <xdr:cNvSpPr/>
        </xdr:nvSpPr>
        <xdr:spPr>
          <a:xfrm>
            <a:off x="10866372" y="1853803"/>
            <a:ext cx="4162635" cy="1334691"/>
          </a:xfrm>
          <a:prstGeom prst="roundRect">
            <a:avLst>
              <a:gd name="adj" fmla="val 738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C106">
        <xdr:nvSpPr>
          <xdr:cNvPr id="70" name="Retângulo: Cantos Arredondados 69">
            <a:extLst>
              <a:ext uri="{FF2B5EF4-FFF2-40B4-BE49-F238E27FC236}">
                <a16:creationId xmlns:a16="http://schemas.microsoft.com/office/drawing/2014/main" id="{7055E90D-8766-4ADB-94DE-A15692788B1A}"/>
              </a:ext>
            </a:extLst>
          </xdr:cNvPr>
          <xdr:cNvSpPr/>
        </xdr:nvSpPr>
        <xdr:spPr>
          <a:xfrm>
            <a:off x="11214656" y="2316621"/>
            <a:ext cx="3215718" cy="675737"/>
          </a:xfrm>
          <a:prstGeom prst="roundRect">
            <a:avLst>
              <a:gd name="adj" fmla="val 7381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40FCC61-7499-49DC-B0D8-E977F4C68D83}" type="TxLink">
              <a:rPr lang="en-US" sz="4000" b="1" i="0" u="none" strike="noStrike">
                <a:solidFill>
                  <a:srgbClr val="22C55E"/>
                </a:solidFill>
                <a:latin typeface="Aptos Narrow"/>
              </a:rPr>
              <a:pPr algn="ctr"/>
              <a:t> R$ 7.633,00 </a:t>
            </a:fld>
            <a:endParaRPr lang="pt-BR" sz="4000" b="1">
              <a:solidFill>
                <a:srgbClr val="22C55E"/>
              </a:solidFill>
            </a:endParaRPr>
          </a:p>
        </xdr:txBody>
      </xdr:sp>
      <xdr:sp macro="" textlink="">
        <xdr:nvSpPr>
          <xdr:cNvPr id="72" name="Retângulo: Cantos Superiores Arredondados 71">
            <a:extLst>
              <a:ext uri="{FF2B5EF4-FFF2-40B4-BE49-F238E27FC236}">
                <a16:creationId xmlns:a16="http://schemas.microsoft.com/office/drawing/2014/main" id="{3451D620-BCE5-4198-8B76-311B7A931987}"/>
              </a:ext>
            </a:extLst>
          </xdr:cNvPr>
          <xdr:cNvSpPr/>
        </xdr:nvSpPr>
        <xdr:spPr>
          <a:xfrm>
            <a:off x="10856120" y="1853802"/>
            <a:ext cx="4193392" cy="343206"/>
          </a:xfrm>
          <a:prstGeom prst="round2SameRect">
            <a:avLst>
              <a:gd name="adj1" fmla="val 42473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REVENUE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29</xdr:col>
      <xdr:colOff>34087</xdr:colOff>
      <xdr:row>8</xdr:row>
      <xdr:rowOff>30083</xdr:rowOff>
    </xdr:from>
    <xdr:to>
      <xdr:col>35</xdr:col>
      <xdr:colOff>84104</xdr:colOff>
      <xdr:row>15</xdr:row>
      <xdr:rowOff>114619</xdr:rowOff>
    </xdr:to>
    <xdr:grpSp>
      <xdr:nvGrpSpPr>
        <xdr:cNvPr id="74" name="Agrupar 73">
          <a:extLst>
            <a:ext uri="{FF2B5EF4-FFF2-40B4-BE49-F238E27FC236}">
              <a16:creationId xmlns:a16="http://schemas.microsoft.com/office/drawing/2014/main" id="{BB5C9734-125D-4C15-BE9F-3C2ADB9FD41A}"/>
            </a:ext>
          </a:extLst>
        </xdr:cNvPr>
        <xdr:cNvGrpSpPr/>
      </xdr:nvGrpSpPr>
      <xdr:grpSpPr>
        <a:xfrm>
          <a:off x="20741437" y="2258933"/>
          <a:ext cx="4164817" cy="1418036"/>
          <a:chOff x="10856120" y="1853802"/>
          <a:chExt cx="4193392" cy="1334692"/>
        </a:xfrm>
      </xdr:grpSpPr>
      <xdr:sp macro="" textlink="">
        <xdr:nvSpPr>
          <xdr:cNvPr id="75" name="Retângulo: Cantos Arredondados 74">
            <a:extLst>
              <a:ext uri="{FF2B5EF4-FFF2-40B4-BE49-F238E27FC236}">
                <a16:creationId xmlns:a16="http://schemas.microsoft.com/office/drawing/2014/main" id="{EAC4D003-717A-4361-9589-4E58E8FF9BC2}"/>
              </a:ext>
            </a:extLst>
          </xdr:cNvPr>
          <xdr:cNvSpPr/>
        </xdr:nvSpPr>
        <xdr:spPr>
          <a:xfrm>
            <a:off x="10866372" y="1853803"/>
            <a:ext cx="4162635" cy="1334691"/>
          </a:xfrm>
          <a:prstGeom prst="roundRect">
            <a:avLst>
              <a:gd name="adj" fmla="val 738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C108">
        <xdr:nvSpPr>
          <xdr:cNvPr id="76" name="Retângulo: Cantos Arredondados 75">
            <a:extLst>
              <a:ext uri="{FF2B5EF4-FFF2-40B4-BE49-F238E27FC236}">
                <a16:creationId xmlns:a16="http://schemas.microsoft.com/office/drawing/2014/main" id="{DF3AE3D3-006B-413A-9204-9D164CE2D2A7}"/>
              </a:ext>
            </a:extLst>
          </xdr:cNvPr>
          <xdr:cNvSpPr/>
        </xdr:nvSpPr>
        <xdr:spPr>
          <a:xfrm>
            <a:off x="11417062" y="2328530"/>
            <a:ext cx="2788761" cy="659718"/>
          </a:xfrm>
          <a:prstGeom prst="roundRect">
            <a:avLst>
              <a:gd name="adj" fmla="val 7381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276DFF7-D7F5-499E-8A2E-1ABF61D9A636}" type="TxLink">
              <a:rPr lang="en-US" sz="4400" b="0" i="0" u="none" strike="noStrike">
                <a:solidFill>
                  <a:srgbClr val="22C55E"/>
                </a:solidFill>
                <a:latin typeface="Aptos Narrow"/>
              </a:rPr>
              <a:pPr algn="ctr"/>
              <a:t>244</a:t>
            </a:fld>
            <a:endParaRPr lang="pt-BR" sz="4400">
              <a:solidFill>
                <a:srgbClr val="22C55E"/>
              </a:solidFill>
            </a:endParaRPr>
          </a:p>
        </xdr:txBody>
      </xdr:sp>
      <xdr:sp macro="" textlink="">
        <xdr:nvSpPr>
          <xdr:cNvPr id="78" name="Retângulo: Cantos Superiores Arredondados 77">
            <a:extLst>
              <a:ext uri="{FF2B5EF4-FFF2-40B4-BE49-F238E27FC236}">
                <a16:creationId xmlns:a16="http://schemas.microsoft.com/office/drawing/2014/main" id="{19A23350-EFAD-40F3-965A-243819B50C04}"/>
              </a:ext>
            </a:extLst>
          </xdr:cNvPr>
          <xdr:cNvSpPr/>
        </xdr:nvSpPr>
        <xdr:spPr>
          <a:xfrm>
            <a:off x="10856120" y="1853802"/>
            <a:ext cx="4193392" cy="343206"/>
          </a:xfrm>
          <a:prstGeom prst="round2SameRect">
            <a:avLst>
              <a:gd name="adj1" fmla="val 42473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COUPONS USED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2</xdr:col>
      <xdr:colOff>21433</xdr:colOff>
      <xdr:row>8</xdr:row>
      <xdr:rowOff>30083</xdr:rowOff>
    </xdr:from>
    <xdr:to>
      <xdr:col>8</xdr:col>
      <xdr:colOff>71450</xdr:colOff>
      <xdr:row>15</xdr:row>
      <xdr:rowOff>114619</xdr:rowOff>
    </xdr:to>
    <xdr:grpSp>
      <xdr:nvGrpSpPr>
        <xdr:cNvPr id="94" name="Agrupar 93">
          <a:extLst>
            <a:ext uri="{FF2B5EF4-FFF2-40B4-BE49-F238E27FC236}">
              <a16:creationId xmlns:a16="http://schemas.microsoft.com/office/drawing/2014/main" id="{A141A52B-F973-4FBE-A8B3-2FCA7DCD2A7F}"/>
            </a:ext>
          </a:extLst>
        </xdr:cNvPr>
        <xdr:cNvGrpSpPr/>
      </xdr:nvGrpSpPr>
      <xdr:grpSpPr>
        <a:xfrm>
          <a:off x="2383633" y="2258933"/>
          <a:ext cx="4164817" cy="1418036"/>
          <a:chOff x="10856120" y="1853802"/>
          <a:chExt cx="4193392" cy="1334692"/>
        </a:xfrm>
      </xdr:grpSpPr>
      <xdr:sp macro="" textlink="">
        <xdr:nvSpPr>
          <xdr:cNvPr id="95" name="Retângulo: Cantos Arredondados 94">
            <a:extLst>
              <a:ext uri="{FF2B5EF4-FFF2-40B4-BE49-F238E27FC236}">
                <a16:creationId xmlns:a16="http://schemas.microsoft.com/office/drawing/2014/main" id="{966DC62F-0956-40D1-A0C3-CE98FFC01E43}"/>
              </a:ext>
            </a:extLst>
          </xdr:cNvPr>
          <xdr:cNvSpPr/>
        </xdr:nvSpPr>
        <xdr:spPr>
          <a:xfrm>
            <a:off x="10866372" y="1853803"/>
            <a:ext cx="4162635" cy="1334691"/>
          </a:xfrm>
          <a:prstGeom prst="roundRect">
            <a:avLst>
              <a:gd name="adj" fmla="val 738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C106">
        <xdr:nvSpPr>
          <xdr:cNvPr id="96" name="Retângulo: Cantos Arredondados 95">
            <a:extLst>
              <a:ext uri="{FF2B5EF4-FFF2-40B4-BE49-F238E27FC236}">
                <a16:creationId xmlns:a16="http://schemas.microsoft.com/office/drawing/2014/main" id="{876EBC00-C0FC-455D-93AA-12CE2006C1EA}"/>
              </a:ext>
            </a:extLst>
          </xdr:cNvPr>
          <xdr:cNvSpPr/>
        </xdr:nvSpPr>
        <xdr:spPr>
          <a:xfrm>
            <a:off x="11214656" y="2316621"/>
            <a:ext cx="3215718" cy="675737"/>
          </a:xfrm>
          <a:prstGeom prst="roundRect">
            <a:avLst>
              <a:gd name="adj" fmla="val 7381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40FCC61-7499-49DC-B0D8-E977F4C68D83}" type="TxLink">
              <a:rPr lang="en-US" sz="4000" b="1" i="0" u="none" strike="noStrike">
                <a:solidFill>
                  <a:srgbClr val="22C55E"/>
                </a:solidFill>
                <a:latin typeface="Aptos Narrow"/>
              </a:rPr>
              <a:pPr algn="ctr"/>
              <a:t> R$ 7.633,00 </a:t>
            </a:fld>
            <a:endParaRPr lang="pt-BR" sz="4000" b="1">
              <a:solidFill>
                <a:srgbClr val="22C55E"/>
              </a:solidFill>
            </a:endParaRPr>
          </a:p>
        </xdr:txBody>
      </xdr:sp>
      <xdr:sp macro="" textlink="">
        <xdr:nvSpPr>
          <xdr:cNvPr id="97" name="Retângulo: Cantos Superiores Arredondados 96">
            <a:extLst>
              <a:ext uri="{FF2B5EF4-FFF2-40B4-BE49-F238E27FC236}">
                <a16:creationId xmlns:a16="http://schemas.microsoft.com/office/drawing/2014/main" id="{695D925F-EF15-4D80-B051-74D9D98F59EC}"/>
              </a:ext>
            </a:extLst>
          </xdr:cNvPr>
          <xdr:cNvSpPr/>
        </xdr:nvSpPr>
        <xdr:spPr>
          <a:xfrm>
            <a:off x="10856120" y="1853802"/>
            <a:ext cx="4193392" cy="343206"/>
          </a:xfrm>
          <a:prstGeom prst="round2SameRect">
            <a:avLst>
              <a:gd name="adj1" fmla="val 42473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REVENUE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8</xdr:col>
      <xdr:colOff>500850</xdr:colOff>
      <xdr:row>8</xdr:row>
      <xdr:rowOff>30083</xdr:rowOff>
    </xdr:from>
    <xdr:to>
      <xdr:col>15</xdr:col>
      <xdr:colOff>50804</xdr:colOff>
      <xdr:row>15</xdr:row>
      <xdr:rowOff>114619</xdr:rowOff>
    </xdr:to>
    <xdr:grpSp>
      <xdr:nvGrpSpPr>
        <xdr:cNvPr id="98" name="Agrupar 97">
          <a:extLst>
            <a:ext uri="{FF2B5EF4-FFF2-40B4-BE49-F238E27FC236}">
              <a16:creationId xmlns:a16="http://schemas.microsoft.com/office/drawing/2014/main" id="{D0F7DB58-BCFE-4934-8F56-FB48C7685D26}"/>
            </a:ext>
          </a:extLst>
        </xdr:cNvPr>
        <xdr:cNvGrpSpPr/>
      </xdr:nvGrpSpPr>
      <xdr:grpSpPr>
        <a:xfrm>
          <a:off x="6977850" y="2258933"/>
          <a:ext cx="4179104" cy="1418036"/>
          <a:chOff x="10856120" y="1853802"/>
          <a:chExt cx="4193392" cy="1334692"/>
        </a:xfrm>
      </xdr:grpSpPr>
      <xdr:sp macro="" textlink="">
        <xdr:nvSpPr>
          <xdr:cNvPr id="99" name="Retângulo: Cantos Arredondados 98">
            <a:extLst>
              <a:ext uri="{FF2B5EF4-FFF2-40B4-BE49-F238E27FC236}">
                <a16:creationId xmlns:a16="http://schemas.microsoft.com/office/drawing/2014/main" id="{B1823870-56B5-4A37-B64F-E2E59F7E19BA}"/>
              </a:ext>
            </a:extLst>
          </xdr:cNvPr>
          <xdr:cNvSpPr/>
        </xdr:nvSpPr>
        <xdr:spPr>
          <a:xfrm>
            <a:off x="10866372" y="1853803"/>
            <a:ext cx="4162635" cy="1334691"/>
          </a:xfrm>
          <a:prstGeom prst="roundRect">
            <a:avLst>
              <a:gd name="adj" fmla="val 738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C107">
        <xdr:nvSpPr>
          <xdr:cNvPr id="100" name="Retângulo: Cantos Arredondados 99">
            <a:extLst>
              <a:ext uri="{FF2B5EF4-FFF2-40B4-BE49-F238E27FC236}">
                <a16:creationId xmlns:a16="http://schemas.microsoft.com/office/drawing/2014/main" id="{24B75C66-7E8B-422B-AC21-D5746B83CD08}"/>
              </a:ext>
            </a:extLst>
          </xdr:cNvPr>
          <xdr:cNvSpPr/>
        </xdr:nvSpPr>
        <xdr:spPr>
          <a:xfrm>
            <a:off x="11298001" y="2268998"/>
            <a:ext cx="3232388" cy="761461"/>
          </a:xfrm>
          <a:prstGeom prst="roundRect">
            <a:avLst>
              <a:gd name="adj" fmla="val 7381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8BADCBB-C35F-48F9-AC69-0DC68F602E0A}" type="TxLink">
              <a:rPr lang="en-US" sz="4800" b="1" i="0" u="none" strike="noStrike">
                <a:solidFill>
                  <a:srgbClr val="22C55E"/>
                </a:solidFill>
                <a:latin typeface="Aptos Narrow"/>
              </a:rPr>
              <a:pPr algn="ctr"/>
              <a:t>295</a:t>
            </a:fld>
            <a:endParaRPr lang="pt-BR" sz="4800" b="1">
              <a:solidFill>
                <a:srgbClr val="22C55E"/>
              </a:solidFill>
            </a:endParaRPr>
          </a:p>
        </xdr:txBody>
      </xdr:sp>
      <xdr:sp macro="" textlink="">
        <xdr:nvSpPr>
          <xdr:cNvPr id="101" name="Retângulo: Cantos Superiores Arredondados 100">
            <a:extLst>
              <a:ext uri="{FF2B5EF4-FFF2-40B4-BE49-F238E27FC236}">
                <a16:creationId xmlns:a16="http://schemas.microsoft.com/office/drawing/2014/main" id="{992BC8F2-C940-480A-B3C6-25048EEA0488}"/>
              </a:ext>
            </a:extLst>
          </xdr:cNvPr>
          <xdr:cNvSpPr/>
        </xdr:nvSpPr>
        <xdr:spPr>
          <a:xfrm>
            <a:off x="10856120" y="1853802"/>
            <a:ext cx="4193392" cy="343206"/>
          </a:xfrm>
          <a:prstGeom prst="round2SameRect">
            <a:avLst>
              <a:gd name="adj1" fmla="val 42473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SUBSCRIPTIONES 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liane Refatti" refreshedDate="46105.521450115739" createdVersion="7" refreshedVersion="7" minRefreshableVersion="3" recordCount="295" xr:uid="{0C03B814-5538-4C3B-BBE5-30D8808EA14B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Coupon Used" numFmtId="44">
      <sharedItems count="2">
        <s v="Yes"/>
        <s v="No"/>
      </sharedItems>
    </cacheField>
    <cacheField name="Meses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8937631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n v="15"/>
    <x v="0"/>
    <x v="0"/>
    <n v="30"/>
    <x v="0"/>
    <n v="20"/>
    <n v="5"/>
    <n v="60"/>
    <x v="0"/>
  </r>
  <r>
    <n v="3232"/>
    <s v="Maria Oliveira"/>
    <x v="1"/>
    <x v="1"/>
    <x v="1"/>
    <n v="5"/>
    <x v="1"/>
    <x v="1"/>
    <s v="-"/>
    <x v="1"/>
    <n v="0"/>
    <n v="0"/>
    <n v="5"/>
    <x v="1"/>
  </r>
  <r>
    <n v="3233"/>
    <s v="Lucas Fernandes"/>
    <x v="2"/>
    <x v="2"/>
    <x v="0"/>
    <n v="10"/>
    <x v="2"/>
    <x v="1"/>
    <s v="-"/>
    <x v="0"/>
    <n v="20"/>
    <n v="10"/>
    <n v="20"/>
    <x v="0"/>
  </r>
  <r>
    <n v="3234"/>
    <s v="Ana Souza"/>
    <x v="0"/>
    <x v="3"/>
    <x v="1"/>
    <n v="15"/>
    <x v="0"/>
    <x v="0"/>
    <n v="30"/>
    <x v="0"/>
    <n v="20"/>
    <n v="3"/>
    <n v="62"/>
    <x v="0"/>
  </r>
  <r>
    <n v="3235"/>
    <s v="Pedro Gonçalves"/>
    <x v="1"/>
    <x v="4"/>
    <x v="0"/>
    <n v="5"/>
    <x v="0"/>
    <x v="1"/>
    <s v="-"/>
    <x v="1"/>
    <n v="0"/>
    <n v="1"/>
    <n v="4"/>
    <x v="0"/>
  </r>
  <r>
    <n v="3236"/>
    <s v="Felipe Costa"/>
    <x v="2"/>
    <x v="5"/>
    <x v="1"/>
    <n v="10"/>
    <x v="0"/>
    <x v="1"/>
    <s v="-"/>
    <x v="0"/>
    <n v="20"/>
    <n v="2"/>
    <n v="28"/>
    <x v="0"/>
  </r>
  <r>
    <n v="3237"/>
    <s v="Camila Ribeiro"/>
    <x v="0"/>
    <x v="6"/>
    <x v="0"/>
    <n v="15"/>
    <x v="2"/>
    <x v="0"/>
    <n v="30"/>
    <x v="0"/>
    <n v="20"/>
    <n v="10"/>
    <n v="55"/>
    <x v="0"/>
  </r>
  <r>
    <n v="3238"/>
    <s v="André Mendes"/>
    <x v="1"/>
    <x v="7"/>
    <x v="0"/>
    <n v="5"/>
    <x v="1"/>
    <x v="1"/>
    <s v="-"/>
    <x v="1"/>
    <n v="0"/>
    <n v="0"/>
    <n v="5"/>
    <x v="1"/>
  </r>
  <r>
    <n v="3239"/>
    <s v="Sofia Almeida"/>
    <x v="0"/>
    <x v="4"/>
    <x v="1"/>
    <n v="15"/>
    <x v="0"/>
    <x v="0"/>
    <n v="30"/>
    <x v="0"/>
    <n v="20"/>
    <n v="5"/>
    <n v="60"/>
    <x v="0"/>
  </r>
  <r>
    <n v="3240"/>
    <s v="Bruno Martins"/>
    <x v="2"/>
    <x v="8"/>
    <x v="0"/>
    <n v="10"/>
    <x v="2"/>
    <x v="1"/>
    <s v="-"/>
    <x v="0"/>
    <n v="20"/>
    <n v="15"/>
    <n v="15"/>
    <x v="0"/>
  </r>
  <r>
    <n v="3241"/>
    <s v="Rita Castro"/>
    <x v="1"/>
    <x v="9"/>
    <x v="1"/>
    <n v="5"/>
    <x v="0"/>
    <x v="1"/>
    <s v="-"/>
    <x v="1"/>
    <n v="0"/>
    <n v="1"/>
    <n v="4"/>
    <x v="0"/>
  </r>
  <r>
    <n v="3242"/>
    <s v="Marco Túlio"/>
    <x v="0"/>
    <x v="10"/>
    <x v="0"/>
    <n v="15"/>
    <x v="1"/>
    <x v="0"/>
    <n v="30"/>
    <x v="0"/>
    <n v="20"/>
    <n v="20"/>
    <n v="45"/>
    <x v="0"/>
  </r>
  <r>
    <n v="3243"/>
    <s v="Lívia Silveira"/>
    <x v="2"/>
    <x v="11"/>
    <x v="1"/>
    <n v="10"/>
    <x v="0"/>
    <x v="1"/>
    <s v="-"/>
    <x v="0"/>
    <n v="20"/>
    <n v="10"/>
    <n v="20"/>
    <x v="0"/>
  </r>
  <r>
    <n v="3244"/>
    <s v="Diogo Sousa"/>
    <x v="1"/>
    <x v="12"/>
    <x v="0"/>
    <n v="5"/>
    <x v="2"/>
    <x v="1"/>
    <s v="-"/>
    <x v="1"/>
    <n v="0"/>
    <n v="0"/>
    <n v="5"/>
    <x v="1"/>
  </r>
  <r>
    <n v="3245"/>
    <s v="Fernanda Lima"/>
    <x v="0"/>
    <x v="13"/>
    <x v="1"/>
    <n v="15"/>
    <x v="0"/>
    <x v="0"/>
    <n v="30"/>
    <x v="0"/>
    <n v="20"/>
    <n v="8"/>
    <n v="57"/>
    <x v="0"/>
  </r>
  <r>
    <n v="3246"/>
    <s v="Caio Pereira"/>
    <x v="2"/>
    <x v="14"/>
    <x v="0"/>
    <n v="10"/>
    <x v="1"/>
    <x v="1"/>
    <s v="-"/>
    <x v="0"/>
    <n v="20"/>
    <n v="12"/>
    <n v="18"/>
    <x v="0"/>
  </r>
  <r>
    <n v="3247"/>
    <s v="Beatriz Gomes"/>
    <x v="1"/>
    <x v="15"/>
    <x v="1"/>
    <n v="5"/>
    <x v="0"/>
    <x v="1"/>
    <s v="-"/>
    <x v="1"/>
    <n v="0"/>
    <n v="2"/>
    <n v="3"/>
    <x v="0"/>
  </r>
  <r>
    <n v="3248"/>
    <s v="Cesar Oliveira"/>
    <x v="0"/>
    <x v="16"/>
    <x v="0"/>
    <n v="15"/>
    <x v="2"/>
    <x v="0"/>
    <n v="30"/>
    <x v="0"/>
    <n v="20"/>
    <n v="7"/>
    <n v="58"/>
    <x v="0"/>
  </r>
  <r>
    <n v="3249"/>
    <s v="Débora Machado"/>
    <x v="2"/>
    <x v="17"/>
    <x v="1"/>
    <n v="10"/>
    <x v="0"/>
    <x v="1"/>
    <s v="-"/>
    <x v="0"/>
    <n v="20"/>
    <n v="5"/>
    <n v="25"/>
    <x v="0"/>
  </r>
  <r>
    <n v="3250"/>
    <s v="Eduardo Vargas"/>
    <x v="1"/>
    <x v="18"/>
    <x v="0"/>
    <n v="5"/>
    <x v="1"/>
    <x v="1"/>
    <s v="-"/>
    <x v="1"/>
    <n v="0"/>
    <n v="0"/>
    <n v="5"/>
    <x v="1"/>
  </r>
  <r>
    <n v="3251"/>
    <s v="Gabriela Santos"/>
    <x v="0"/>
    <x v="19"/>
    <x v="1"/>
    <n v="15"/>
    <x v="0"/>
    <x v="0"/>
    <n v="30"/>
    <x v="0"/>
    <n v="20"/>
    <n v="3"/>
    <n v="62"/>
    <x v="0"/>
  </r>
  <r>
    <n v="3252"/>
    <s v="Henrique Dias"/>
    <x v="2"/>
    <x v="20"/>
    <x v="0"/>
    <n v="10"/>
    <x v="2"/>
    <x v="1"/>
    <s v="-"/>
    <x v="0"/>
    <n v="20"/>
    <n v="15"/>
    <n v="15"/>
    <x v="0"/>
  </r>
  <r>
    <n v="3253"/>
    <s v="Isabela Moreira"/>
    <x v="1"/>
    <x v="21"/>
    <x v="1"/>
    <n v="5"/>
    <x v="0"/>
    <x v="1"/>
    <s v="-"/>
    <x v="1"/>
    <n v="0"/>
    <n v="1"/>
    <n v="4"/>
    <x v="0"/>
  </r>
  <r>
    <n v="3254"/>
    <s v="Joaquim Barbosa"/>
    <x v="0"/>
    <x v="22"/>
    <x v="0"/>
    <n v="15"/>
    <x v="1"/>
    <x v="0"/>
    <n v="30"/>
    <x v="0"/>
    <n v="20"/>
    <n v="20"/>
    <n v="45"/>
    <x v="0"/>
  </r>
  <r>
    <n v="3255"/>
    <s v="Lara Rocha"/>
    <x v="2"/>
    <x v="23"/>
    <x v="1"/>
    <n v="10"/>
    <x v="0"/>
    <x v="1"/>
    <s v="-"/>
    <x v="0"/>
    <n v="20"/>
    <n v="10"/>
    <n v="20"/>
    <x v="0"/>
  </r>
  <r>
    <n v="3256"/>
    <s v="Matheus Silva"/>
    <x v="1"/>
    <x v="24"/>
    <x v="0"/>
    <n v="5"/>
    <x v="2"/>
    <x v="1"/>
    <s v="-"/>
    <x v="1"/>
    <n v="0"/>
    <n v="0"/>
    <n v="5"/>
    <x v="1"/>
  </r>
  <r>
    <n v="3257"/>
    <s v="Nicole Costa"/>
    <x v="0"/>
    <x v="25"/>
    <x v="1"/>
    <n v="15"/>
    <x v="0"/>
    <x v="0"/>
    <n v="30"/>
    <x v="0"/>
    <n v="20"/>
    <n v="5"/>
    <n v="60"/>
    <x v="0"/>
  </r>
  <r>
    <n v="3258"/>
    <s v="Otávio Mendonça"/>
    <x v="2"/>
    <x v="26"/>
    <x v="0"/>
    <n v="10"/>
    <x v="1"/>
    <x v="1"/>
    <s v="-"/>
    <x v="0"/>
    <n v="20"/>
    <n v="15"/>
    <n v="15"/>
    <x v="0"/>
  </r>
  <r>
    <n v="3259"/>
    <s v="Paula Ferreira"/>
    <x v="1"/>
    <x v="27"/>
    <x v="1"/>
    <n v="5"/>
    <x v="0"/>
    <x v="1"/>
    <s v="-"/>
    <x v="1"/>
    <n v="0"/>
    <n v="1"/>
    <n v="4"/>
    <x v="0"/>
  </r>
  <r>
    <n v="3260"/>
    <s v="Raquel Alves"/>
    <x v="0"/>
    <x v="28"/>
    <x v="0"/>
    <n v="15"/>
    <x v="2"/>
    <x v="0"/>
    <n v="30"/>
    <x v="0"/>
    <n v="20"/>
    <n v="7"/>
    <n v="58"/>
    <x v="0"/>
  </r>
  <r>
    <n v="3261"/>
    <s v="Samuel Pires"/>
    <x v="2"/>
    <x v="29"/>
    <x v="1"/>
    <n v="10"/>
    <x v="0"/>
    <x v="1"/>
    <s v="-"/>
    <x v="0"/>
    <n v="20"/>
    <n v="10"/>
    <n v="20"/>
    <x v="0"/>
  </r>
  <r>
    <n v="3262"/>
    <s v="Tânia Barros"/>
    <x v="1"/>
    <x v="30"/>
    <x v="0"/>
    <n v="5"/>
    <x v="1"/>
    <x v="1"/>
    <s v="-"/>
    <x v="1"/>
    <n v="0"/>
    <n v="0"/>
    <n v="5"/>
    <x v="1"/>
  </r>
  <r>
    <n v="3263"/>
    <s v="Vinicius Lima"/>
    <x v="0"/>
    <x v="31"/>
    <x v="1"/>
    <n v="15"/>
    <x v="0"/>
    <x v="0"/>
    <n v="30"/>
    <x v="0"/>
    <n v="20"/>
    <n v="3"/>
    <n v="62"/>
    <x v="0"/>
  </r>
  <r>
    <n v="3264"/>
    <s v="Yasmin Teixeira"/>
    <x v="2"/>
    <x v="32"/>
    <x v="0"/>
    <n v="10"/>
    <x v="2"/>
    <x v="1"/>
    <s v="-"/>
    <x v="0"/>
    <n v="20"/>
    <n v="15"/>
    <n v="15"/>
    <x v="0"/>
  </r>
  <r>
    <n v="3265"/>
    <s v="Zé Carlos"/>
    <x v="1"/>
    <x v="33"/>
    <x v="1"/>
    <n v="5"/>
    <x v="0"/>
    <x v="1"/>
    <s v="-"/>
    <x v="1"/>
    <n v="0"/>
    <n v="1"/>
    <n v="4"/>
    <x v="0"/>
  </r>
  <r>
    <n v="3266"/>
    <s v="Amanda Nogueira"/>
    <x v="1"/>
    <x v="34"/>
    <x v="0"/>
    <n v="5"/>
    <x v="0"/>
    <x v="1"/>
    <s v="-"/>
    <x v="1"/>
    <n v="0"/>
    <n v="0"/>
    <n v="5"/>
    <x v="1"/>
  </r>
  <r>
    <n v="3267"/>
    <s v="Bruno Cavalheiro"/>
    <x v="0"/>
    <x v="35"/>
    <x v="1"/>
    <n v="15"/>
    <x v="2"/>
    <x v="0"/>
    <n v="30"/>
    <x v="0"/>
    <n v="20"/>
    <n v="7"/>
    <n v="58"/>
    <x v="0"/>
  </r>
  <r>
    <n v="3268"/>
    <s v="Carla Dias"/>
    <x v="2"/>
    <x v="36"/>
    <x v="0"/>
    <n v="10"/>
    <x v="1"/>
    <x v="1"/>
    <s v="-"/>
    <x v="0"/>
    <n v="20"/>
    <n v="10"/>
    <n v="20"/>
    <x v="0"/>
  </r>
  <r>
    <n v="3269"/>
    <s v="Diego Fontes"/>
    <x v="1"/>
    <x v="37"/>
    <x v="1"/>
    <n v="5"/>
    <x v="2"/>
    <x v="1"/>
    <s v="-"/>
    <x v="1"/>
    <n v="0"/>
    <n v="1"/>
    <n v="4"/>
    <x v="0"/>
  </r>
  <r>
    <n v="3270"/>
    <s v="Eunice Lima"/>
    <x v="0"/>
    <x v="38"/>
    <x v="0"/>
    <n v="15"/>
    <x v="0"/>
    <x v="0"/>
    <n v="30"/>
    <x v="0"/>
    <n v="20"/>
    <n v="15"/>
    <n v="50"/>
    <x v="0"/>
  </r>
  <r>
    <n v="3271"/>
    <s v="Fábio Martins"/>
    <x v="2"/>
    <x v="39"/>
    <x v="1"/>
    <n v="10"/>
    <x v="0"/>
    <x v="1"/>
    <s v="-"/>
    <x v="0"/>
    <n v="20"/>
    <n v="5"/>
    <n v="25"/>
    <x v="0"/>
  </r>
  <r>
    <n v="3272"/>
    <s v="Gisele Araújo"/>
    <x v="1"/>
    <x v="40"/>
    <x v="0"/>
    <n v="5"/>
    <x v="1"/>
    <x v="1"/>
    <s v="-"/>
    <x v="1"/>
    <n v="0"/>
    <n v="0"/>
    <n v="5"/>
    <x v="1"/>
  </r>
  <r>
    <n v="3273"/>
    <s v="Hélio Castro"/>
    <x v="0"/>
    <x v="41"/>
    <x v="1"/>
    <n v="15"/>
    <x v="2"/>
    <x v="0"/>
    <n v="30"/>
    <x v="0"/>
    <n v="20"/>
    <n v="20"/>
    <n v="45"/>
    <x v="0"/>
  </r>
  <r>
    <n v="3274"/>
    <s v="Ingrid Menezes"/>
    <x v="2"/>
    <x v="42"/>
    <x v="0"/>
    <n v="10"/>
    <x v="2"/>
    <x v="1"/>
    <s v="-"/>
    <x v="0"/>
    <n v="20"/>
    <n v="12"/>
    <n v="18"/>
    <x v="0"/>
  </r>
  <r>
    <n v="3275"/>
    <s v="Jorge Baptista"/>
    <x v="1"/>
    <x v="43"/>
    <x v="1"/>
    <n v="5"/>
    <x v="0"/>
    <x v="1"/>
    <s v="-"/>
    <x v="1"/>
    <n v="0"/>
    <n v="2"/>
    <n v="3"/>
    <x v="0"/>
  </r>
  <r>
    <n v="3276"/>
    <s v="Kléber Oliveira"/>
    <x v="0"/>
    <x v="44"/>
    <x v="0"/>
    <n v="15"/>
    <x v="1"/>
    <x v="0"/>
    <n v="30"/>
    <x v="0"/>
    <n v="20"/>
    <n v="5"/>
    <n v="60"/>
    <x v="0"/>
  </r>
  <r>
    <n v="3277"/>
    <s v="Luciana Freitas"/>
    <x v="2"/>
    <x v="45"/>
    <x v="1"/>
    <n v="10"/>
    <x v="0"/>
    <x v="1"/>
    <s v="-"/>
    <x v="0"/>
    <n v="20"/>
    <n v="10"/>
    <n v="20"/>
    <x v="0"/>
  </r>
  <r>
    <n v="3278"/>
    <s v="Márcia Eller"/>
    <x v="1"/>
    <x v="46"/>
    <x v="0"/>
    <n v="5"/>
    <x v="2"/>
    <x v="1"/>
    <s v="-"/>
    <x v="1"/>
    <n v="0"/>
    <n v="0"/>
    <n v="5"/>
    <x v="1"/>
  </r>
  <r>
    <n v="3279"/>
    <s v="Nilo Peçanha"/>
    <x v="0"/>
    <x v="47"/>
    <x v="1"/>
    <n v="15"/>
    <x v="0"/>
    <x v="0"/>
    <n v="30"/>
    <x v="0"/>
    <n v="20"/>
    <n v="3"/>
    <n v="62"/>
    <x v="0"/>
  </r>
  <r>
    <n v="3280"/>
    <s v="Oscar Neves"/>
    <x v="2"/>
    <x v="48"/>
    <x v="0"/>
    <n v="10"/>
    <x v="1"/>
    <x v="1"/>
    <s v="-"/>
    <x v="0"/>
    <n v="20"/>
    <n v="15"/>
    <n v="15"/>
    <x v="0"/>
  </r>
  <r>
    <n v="3281"/>
    <s v="Patrícia Soares"/>
    <x v="1"/>
    <x v="49"/>
    <x v="1"/>
    <n v="5"/>
    <x v="0"/>
    <x v="1"/>
    <s v="-"/>
    <x v="1"/>
    <n v="0"/>
    <n v="1"/>
    <n v="4"/>
    <x v="0"/>
  </r>
  <r>
    <n v="3282"/>
    <s v="Quirino Gonçalves"/>
    <x v="0"/>
    <x v="50"/>
    <x v="0"/>
    <n v="15"/>
    <x v="2"/>
    <x v="0"/>
    <n v="30"/>
    <x v="0"/>
    <n v="20"/>
    <n v="7"/>
    <n v="58"/>
    <x v="0"/>
  </r>
  <r>
    <n v="3283"/>
    <s v="Raul Machado"/>
    <x v="2"/>
    <x v="51"/>
    <x v="1"/>
    <n v="10"/>
    <x v="0"/>
    <x v="1"/>
    <s v="-"/>
    <x v="0"/>
    <n v="20"/>
    <n v="10"/>
    <n v="20"/>
    <x v="0"/>
  </r>
  <r>
    <n v="3284"/>
    <s v="Sônia Lobo"/>
    <x v="1"/>
    <x v="52"/>
    <x v="0"/>
    <n v="5"/>
    <x v="1"/>
    <x v="1"/>
    <s v="-"/>
    <x v="1"/>
    <n v="0"/>
    <n v="0"/>
    <n v="5"/>
    <x v="1"/>
  </r>
  <r>
    <n v="3285"/>
    <s v="Tiago Ramos"/>
    <x v="0"/>
    <x v="53"/>
    <x v="1"/>
    <n v="15"/>
    <x v="0"/>
    <x v="0"/>
    <n v="30"/>
    <x v="0"/>
    <n v="20"/>
    <n v="20"/>
    <n v="45"/>
    <x v="0"/>
  </r>
  <r>
    <n v="3286"/>
    <s v="Ugo Pires"/>
    <x v="2"/>
    <x v="54"/>
    <x v="0"/>
    <n v="10"/>
    <x v="2"/>
    <x v="1"/>
    <s v="-"/>
    <x v="0"/>
    <n v="20"/>
    <n v="15"/>
    <n v="15"/>
    <x v="0"/>
  </r>
  <r>
    <n v="3287"/>
    <s v="Valéria Nobre"/>
    <x v="1"/>
    <x v="55"/>
    <x v="1"/>
    <n v="5"/>
    <x v="0"/>
    <x v="1"/>
    <s v="-"/>
    <x v="1"/>
    <n v="0"/>
    <n v="1"/>
    <n v="4"/>
    <x v="0"/>
  </r>
  <r>
    <n v="3288"/>
    <s v="William Siqueira"/>
    <x v="0"/>
    <x v="56"/>
    <x v="0"/>
    <n v="15"/>
    <x v="1"/>
    <x v="0"/>
    <n v="30"/>
    <x v="0"/>
    <n v="20"/>
    <n v="3"/>
    <n v="62"/>
    <x v="0"/>
  </r>
  <r>
    <n v="3289"/>
    <s v="Xuxa Meneghel"/>
    <x v="2"/>
    <x v="57"/>
    <x v="1"/>
    <n v="10"/>
    <x v="0"/>
    <x v="1"/>
    <s v="-"/>
    <x v="0"/>
    <n v="20"/>
    <n v="10"/>
    <n v="20"/>
    <x v="0"/>
  </r>
  <r>
    <n v="3290"/>
    <s v="Yara Figueiredo"/>
    <x v="1"/>
    <x v="58"/>
    <x v="0"/>
    <n v="5"/>
    <x v="2"/>
    <x v="1"/>
    <s v="-"/>
    <x v="1"/>
    <n v="0"/>
    <n v="0"/>
    <n v="5"/>
    <x v="1"/>
  </r>
  <r>
    <n v="3291"/>
    <s v="Zacarias Alves"/>
    <x v="0"/>
    <x v="59"/>
    <x v="1"/>
    <n v="15"/>
    <x v="0"/>
    <x v="0"/>
    <n v="30"/>
    <x v="0"/>
    <n v="20"/>
    <n v="5"/>
    <n v="60"/>
    <x v="0"/>
  </r>
  <r>
    <n v="3292"/>
    <s v="Amanda Bynes"/>
    <x v="2"/>
    <x v="60"/>
    <x v="0"/>
    <n v="10"/>
    <x v="1"/>
    <x v="1"/>
    <s v="-"/>
    <x v="0"/>
    <n v="20"/>
    <n v="15"/>
    <n v="15"/>
    <x v="0"/>
  </r>
  <r>
    <n v="3293"/>
    <s v="Bruno Mars"/>
    <x v="1"/>
    <x v="61"/>
    <x v="1"/>
    <n v="5"/>
    <x v="0"/>
    <x v="1"/>
    <s v="-"/>
    <x v="1"/>
    <n v="0"/>
    <n v="1"/>
    <n v="4"/>
    <x v="0"/>
  </r>
  <r>
    <n v="3294"/>
    <s v="Carla Bruni"/>
    <x v="0"/>
    <x v="62"/>
    <x v="0"/>
    <n v="15"/>
    <x v="2"/>
    <x v="0"/>
    <n v="30"/>
    <x v="0"/>
    <n v="20"/>
    <n v="20"/>
    <n v="45"/>
    <x v="0"/>
  </r>
  <r>
    <n v="3295"/>
    <s v="Diego Maradona"/>
    <x v="2"/>
    <x v="63"/>
    <x v="1"/>
    <n v="10"/>
    <x v="0"/>
    <x v="1"/>
    <s v="-"/>
    <x v="0"/>
    <n v="20"/>
    <n v="5"/>
    <n v="25"/>
    <x v="0"/>
  </r>
  <r>
    <n v="3296"/>
    <s v="Estela Marques"/>
    <x v="1"/>
    <x v="64"/>
    <x v="1"/>
    <n v="5"/>
    <x v="0"/>
    <x v="1"/>
    <s v="-"/>
    <x v="1"/>
    <n v="0"/>
    <n v="0"/>
    <n v="5"/>
    <x v="1"/>
  </r>
  <r>
    <n v="3297"/>
    <s v="Fábio Nobre"/>
    <x v="0"/>
    <x v="65"/>
    <x v="0"/>
    <n v="15"/>
    <x v="2"/>
    <x v="0"/>
    <n v="30"/>
    <x v="0"/>
    <n v="20"/>
    <n v="7"/>
    <n v="58"/>
    <x v="0"/>
  </r>
  <r>
    <n v="3298"/>
    <s v="Gabriel Oliveira"/>
    <x v="2"/>
    <x v="66"/>
    <x v="1"/>
    <n v="10"/>
    <x v="1"/>
    <x v="1"/>
    <s v="-"/>
    <x v="0"/>
    <n v="20"/>
    <n v="10"/>
    <n v="20"/>
    <x v="0"/>
  </r>
  <r>
    <n v="3299"/>
    <s v="Helena Santos"/>
    <x v="1"/>
    <x v="67"/>
    <x v="0"/>
    <n v="5"/>
    <x v="2"/>
    <x v="1"/>
    <s v="-"/>
    <x v="1"/>
    <n v="0"/>
    <n v="1"/>
    <n v="4"/>
    <x v="0"/>
  </r>
  <r>
    <n v="3300"/>
    <s v="Ivan Carvalho"/>
    <x v="0"/>
    <x v="68"/>
    <x v="1"/>
    <n v="15"/>
    <x v="0"/>
    <x v="0"/>
    <n v="30"/>
    <x v="0"/>
    <n v="20"/>
    <n v="15"/>
    <n v="50"/>
    <x v="0"/>
  </r>
  <r>
    <n v="3301"/>
    <s v="Júlia Ferreira"/>
    <x v="2"/>
    <x v="69"/>
    <x v="0"/>
    <n v="10"/>
    <x v="0"/>
    <x v="1"/>
    <s v="-"/>
    <x v="0"/>
    <n v="20"/>
    <n v="5"/>
    <n v="25"/>
    <x v="0"/>
  </r>
  <r>
    <n v="3302"/>
    <s v="Karla Alves"/>
    <x v="1"/>
    <x v="70"/>
    <x v="1"/>
    <n v="5"/>
    <x v="1"/>
    <x v="1"/>
    <s v="-"/>
    <x v="1"/>
    <n v="0"/>
    <n v="0"/>
    <n v="5"/>
    <x v="1"/>
  </r>
  <r>
    <n v="3303"/>
    <s v="Lucas Mendes"/>
    <x v="0"/>
    <x v="71"/>
    <x v="0"/>
    <n v="15"/>
    <x v="2"/>
    <x v="0"/>
    <n v="30"/>
    <x v="0"/>
    <n v="20"/>
    <n v="20"/>
    <n v="45"/>
    <x v="0"/>
  </r>
  <r>
    <n v="3304"/>
    <s v="Mônica Gomes"/>
    <x v="2"/>
    <x v="72"/>
    <x v="1"/>
    <n v="10"/>
    <x v="2"/>
    <x v="1"/>
    <s v="-"/>
    <x v="0"/>
    <n v="20"/>
    <n v="12"/>
    <n v="18"/>
    <x v="0"/>
  </r>
  <r>
    <n v="3305"/>
    <s v="Norberto Queiroz"/>
    <x v="1"/>
    <x v="73"/>
    <x v="0"/>
    <n v="5"/>
    <x v="0"/>
    <x v="1"/>
    <s v="-"/>
    <x v="1"/>
    <n v="0"/>
    <n v="2"/>
    <n v="3"/>
    <x v="0"/>
  </r>
  <r>
    <n v="3306"/>
    <s v="Otávio Barros"/>
    <x v="0"/>
    <x v="74"/>
    <x v="1"/>
    <n v="15"/>
    <x v="1"/>
    <x v="0"/>
    <n v="30"/>
    <x v="0"/>
    <n v="20"/>
    <n v="5"/>
    <n v="60"/>
    <x v="0"/>
  </r>
  <r>
    <n v="3307"/>
    <s v="Paula Vieira"/>
    <x v="2"/>
    <x v="75"/>
    <x v="0"/>
    <n v="10"/>
    <x v="0"/>
    <x v="1"/>
    <s v="-"/>
    <x v="0"/>
    <n v="20"/>
    <n v="10"/>
    <n v="20"/>
    <x v="0"/>
  </r>
  <r>
    <n v="3308"/>
    <s v="Quentin Ramos"/>
    <x v="1"/>
    <x v="76"/>
    <x v="1"/>
    <n v="5"/>
    <x v="2"/>
    <x v="1"/>
    <s v="-"/>
    <x v="1"/>
    <n v="0"/>
    <n v="0"/>
    <n v="5"/>
    <x v="1"/>
  </r>
  <r>
    <n v="3309"/>
    <s v="Raquel Novaes"/>
    <x v="0"/>
    <x v="77"/>
    <x v="0"/>
    <n v="15"/>
    <x v="0"/>
    <x v="0"/>
    <n v="30"/>
    <x v="0"/>
    <n v="20"/>
    <n v="3"/>
    <n v="62"/>
    <x v="0"/>
  </r>
  <r>
    <n v="3310"/>
    <s v="Samantha Lopes"/>
    <x v="2"/>
    <x v="78"/>
    <x v="1"/>
    <n v="10"/>
    <x v="1"/>
    <x v="1"/>
    <s v="-"/>
    <x v="0"/>
    <n v="20"/>
    <n v="15"/>
    <n v="15"/>
    <x v="0"/>
  </r>
  <r>
    <n v="3311"/>
    <s v="Tiago Martins"/>
    <x v="1"/>
    <x v="79"/>
    <x v="0"/>
    <n v="5"/>
    <x v="0"/>
    <x v="1"/>
    <s v="-"/>
    <x v="1"/>
    <n v="0"/>
    <n v="1"/>
    <n v="4"/>
    <x v="0"/>
  </r>
  <r>
    <n v="3312"/>
    <s v="Ulysses Guimarães"/>
    <x v="0"/>
    <x v="80"/>
    <x v="1"/>
    <n v="15"/>
    <x v="2"/>
    <x v="0"/>
    <n v="30"/>
    <x v="0"/>
    <n v="20"/>
    <n v="7"/>
    <n v="58"/>
    <x v="0"/>
  </r>
  <r>
    <n v="3313"/>
    <s v="Vanessa Silva"/>
    <x v="2"/>
    <x v="81"/>
    <x v="0"/>
    <n v="10"/>
    <x v="0"/>
    <x v="1"/>
    <s v="-"/>
    <x v="0"/>
    <n v="20"/>
    <n v="10"/>
    <n v="20"/>
    <x v="0"/>
  </r>
  <r>
    <n v="3314"/>
    <s v="William Carneiro"/>
    <x v="1"/>
    <x v="82"/>
    <x v="1"/>
    <n v="5"/>
    <x v="1"/>
    <x v="1"/>
    <s v="-"/>
    <x v="1"/>
    <n v="0"/>
    <n v="0"/>
    <n v="5"/>
    <x v="1"/>
  </r>
  <r>
    <n v="3315"/>
    <s v="Ximena Rocha"/>
    <x v="0"/>
    <x v="83"/>
    <x v="0"/>
    <n v="15"/>
    <x v="0"/>
    <x v="0"/>
    <n v="30"/>
    <x v="0"/>
    <n v="20"/>
    <n v="20"/>
    <n v="45"/>
    <x v="0"/>
  </r>
  <r>
    <n v="3316"/>
    <s v="Yasmin Figueiredo"/>
    <x v="2"/>
    <x v="84"/>
    <x v="1"/>
    <n v="10"/>
    <x v="2"/>
    <x v="1"/>
    <s v="-"/>
    <x v="0"/>
    <n v="20"/>
    <n v="15"/>
    <n v="15"/>
    <x v="0"/>
  </r>
  <r>
    <n v="3317"/>
    <s v="Zara Cunha"/>
    <x v="1"/>
    <x v="85"/>
    <x v="0"/>
    <n v="5"/>
    <x v="0"/>
    <x v="1"/>
    <s v="-"/>
    <x v="1"/>
    <n v="0"/>
    <n v="1"/>
    <n v="4"/>
    <x v="0"/>
  </r>
  <r>
    <n v="3318"/>
    <s v="Alan Teixeira"/>
    <x v="0"/>
    <x v="86"/>
    <x v="1"/>
    <n v="15"/>
    <x v="1"/>
    <x v="0"/>
    <n v="30"/>
    <x v="0"/>
    <n v="20"/>
    <n v="3"/>
    <n v="62"/>
    <x v="0"/>
  </r>
  <r>
    <n v="3319"/>
    <s v="Bárbara Oliveira"/>
    <x v="2"/>
    <x v="87"/>
    <x v="0"/>
    <n v="10"/>
    <x v="0"/>
    <x v="1"/>
    <s v="-"/>
    <x v="0"/>
    <n v="20"/>
    <n v="10"/>
    <n v="20"/>
    <x v="0"/>
  </r>
  <r>
    <n v="3320"/>
    <s v="Carlos Junqueira"/>
    <x v="1"/>
    <x v="88"/>
    <x v="1"/>
    <n v="5"/>
    <x v="2"/>
    <x v="1"/>
    <s v="-"/>
    <x v="1"/>
    <n v="0"/>
    <n v="0"/>
    <n v="5"/>
    <x v="1"/>
  </r>
  <r>
    <n v="3321"/>
    <s v="Daniela Moura"/>
    <x v="0"/>
    <x v="89"/>
    <x v="0"/>
    <n v="15"/>
    <x v="0"/>
    <x v="0"/>
    <n v="30"/>
    <x v="0"/>
    <n v="20"/>
    <n v="5"/>
    <n v="60"/>
    <x v="0"/>
  </r>
  <r>
    <n v="3322"/>
    <s v="Eduardo Lima"/>
    <x v="2"/>
    <x v="90"/>
    <x v="1"/>
    <n v="10"/>
    <x v="1"/>
    <x v="1"/>
    <s v="-"/>
    <x v="0"/>
    <n v="20"/>
    <n v="15"/>
    <n v="15"/>
    <x v="0"/>
  </r>
  <r>
    <n v="3323"/>
    <s v="Fabiana Araújo"/>
    <x v="1"/>
    <x v="91"/>
    <x v="0"/>
    <n v="5"/>
    <x v="0"/>
    <x v="1"/>
    <s v="-"/>
    <x v="1"/>
    <n v="0"/>
    <n v="1"/>
    <n v="4"/>
    <x v="0"/>
  </r>
  <r>
    <n v="3324"/>
    <s v="Geraldo Ribeiro"/>
    <x v="0"/>
    <x v="92"/>
    <x v="1"/>
    <n v="15"/>
    <x v="2"/>
    <x v="0"/>
    <n v="30"/>
    <x v="0"/>
    <n v="20"/>
    <n v="20"/>
    <n v="45"/>
    <x v="0"/>
  </r>
  <r>
    <n v="3325"/>
    <s v="Héctor Vargas"/>
    <x v="2"/>
    <x v="93"/>
    <x v="0"/>
    <n v="10"/>
    <x v="2"/>
    <x v="1"/>
    <s v="-"/>
    <x v="0"/>
    <n v="20"/>
    <n v="15"/>
    <n v="15"/>
    <x v="0"/>
  </r>
  <r>
    <n v="3326"/>
    <s v="Isabela Fonseca"/>
    <x v="1"/>
    <x v="94"/>
    <x v="1"/>
    <n v="5"/>
    <x v="1"/>
    <x v="1"/>
    <s v="-"/>
    <x v="1"/>
    <n v="0"/>
    <n v="0"/>
    <n v="5"/>
    <x v="1"/>
  </r>
  <r>
    <n v="3327"/>
    <s v="João Pedro Almeida"/>
    <x v="0"/>
    <x v="95"/>
    <x v="0"/>
    <n v="15"/>
    <x v="0"/>
    <x v="0"/>
    <n v="30"/>
    <x v="0"/>
    <n v="20"/>
    <n v="7"/>
    <n v="58"/>
    <x v="0"/>
  </r>
  <r>
    <n v="3328"/>
    <s v="Klara Costa"/>
    <x v="2"/>
    <x v="96"/>
    <x v="1"/>
    <n v="10"/>
    <x v="1"/>
    <x v="1"/>
    <s v="-"/>
    <x v="0"/>
    <n v="20"/>
    <n v="10"/>
    <n v="20"/>
    <x v="0"/>
  </r>
  <r>
    <n v="3329"/>
    <s v="Luciana Mendes"/>
    <x v="1"/>
    <x v="97"/>
    <x v="0"/>
    <n v="5"/>
    <x v="2"/>
    <x v="1"/>
    <s v="-"/>
    <x v="1"/>
    <n v="0"/>
    <n v="1"/>
    <n v="4"/>
    <x v="0"/>
  </r>
  <r>
    <n v="3330"/>
    <s v="Marcelo Gouveia"/>
    <x v="0"/>
    <x v="98"/>
    <x v="1"/>
    <n v="15"/>
    <x v="0"/>
    <x v="0"/>
    <n v="30"/>
    <x v="0"/>
    <n v="20"/>
    <n v="15"/>
    <n v="50"/>
    <x v="0"/>
  </r>
  <r>
    <n v="3331"/>
    <s v="Nívea Borges"/>
    <x v="2"/>
    <x v="99"/>
    <x v="0"/>
    <n v="10"/>
    <x v="0"/>
    <x v="1"/>
    <s v="-"/>
    <x v="0"/>
    <n v="20"/>
    <n v="5"/>
    <n v="25"/>
    <x v="0"/>
  </r>
  <r>
    <n v="3332"/>
    <s v="Oscar Nogueira"/>
    <x v="1"/>
    <x v="100"/>
    <x v="1"/>
    <n v="5"/>
    <x v="1"/>
    <x v="1"/>
    <s v="-"/>
    <x v="1"/>
    <n v="0"/>
    <n v="0"/>
    <n v="5"/>
    <x v="1"/>
  </r>
  <r>
    <n v="3333"/>
    <s v="Patrícia Alves"/>
    <x v="0"/>
    <x v="101"/>
    <x v="0"/>
    <n v="15"/>
    <x v="2"/>
    <x v="0"/>
    <n v="30"/>
    <x v="0"/>
    <n v="20"/>
    <n v="20"/>
    <n v="45"/>
    <x v="0"/>
  </r>
  <r>
    <n v="3334"/>
    <s v="Rafaela Silva"/>
    <x v="2"/>
    <x v="102"/>
    <x v="1"/>
    <n v="10"/>
    <x v="2"/>
    <x v="1"/>
    <s v="-"/>
    <x v="0"/>
    <n v="20"/>
    <n v="12"/>
    <n v="18"/>
    <x v="0"/>
  </r>
  <r>
    <n v="3335"/>
    <s v="Samantha Moraes"/>
    <x v="1"/>
    <x v="103"/>
    <x v="0"/>
    <n v="5"/>
    <x v="0"/>
    <x v="1"/>
    <s v="-"/>
    <x v="1"/>
    <n v="0"/>
    <n v="2"/>
    <n v="3"/>
    <x v="0"/>
  </r>
  <r>
    <n v="3336"/>
    <s v="Tatiana Rocha"/>
    <x v="1"/>
    <x v="104"/>
    <x v="0"/>
    <n v="5"/>
    <x v="0"/>
    <x v="1"/>
    <s v="-"/>
    <x v="1"/>
    <n v="0"/>
    <n v="0"/>
    <n v="5"/>
    <x v="1"/>
  </r>
  <r>
    <n v="3337"/>
    <s v="Ulisses Tavares"/>
    <x v="0"/>
    <x v="105"/>
    <x v="1"/>
    <n v="15"/>
    <x v="2"/>
    <x v="0"/>
    <n v="30"/>
    <x v="0"/>
    <n v="20"/>
    <n v="7"/>
    <n v="58"/>
    <x v="0"/>
  </r>
  <r>
    <n v="3338"/>
    <s v="Víctor Lemos"/>
    <x v="2"/>
    <x v="106"/>
    <x v="0"/>
    <n v="10"/>
    <x v="1"/>
    <x v="1"/>
    <s v="-"/>
    <x v="0"/>
    <n v="20"/>
    <n v="10"/>
    <n v="20"/>
    <x v="0"/>
  </r>
  <r>
    <n v="3339"/>
    <s v="Wilma Barros"/>
    <x v="1"/>
    <x v="107"/>
    <x v="1"/>
    <n v="5"/>
    <x v="2"/>
    <x v="1"/>
    <s v="-"/>
    <x v="1"/>
    <n v="0"/>
    <n v="1"/>
    <n v="4"/>
    <x v="0"/>
  </r>
  <r>
    <n v="3340"/>
    <s v="Xavier Nascimento"/>
    <x v="0"/>
    <x v="108"/>
    <x v="0"/>
    <n v="15"/>
    <x v="0"/>
    <x v="0"/>
    <n v="30"/>
    <x v="0"/>
    <n v="20"/>
    <n v="15"/>
    <n v="50"/>
    <x v="0"/>
  </r>
  <r>
    <n v="3341"/>
    <s v="Yago Pereira"/>
    <x v="2"/>
    <x v="109"/>
    <x v="1"/>
    <n v="10"/>
    <x v="0"/>
    <x v="1"/>
    <s v="-"/>
    <x v="0"/>
    <n v="20"/>
    <n v="5"/>
    <n v="25"/>
    <x v="0"/>
  </r>
  <r>
    <n v="3342"/>
    <s v="Zilda Ferreira"/>
    <x v="1"/>
    <x v="110"/>
    <x v="0"/>
    <n v="5"/>
    <x v="1"/>
    <x v="1"/>
    <s v="-"/>
    <x v="1"/>
    <n v="0"/>
    <n v="0"/>
    <n v="5"/>
    <x v="1"/>
  </r>
  <r>
    <n v="3343"/>
    <s v="Amanda Lopes"/>
    <x v="0"/>
    <x v="111"/>
    <x v="1"/>
    <n v="15"/>
    <x v="2"/>
    <x v="0"/>
    <n v="30"/>
    <x v="0"/>
    <n v="20"/>
    <n v="20"/>
    <n v="45"/>
    <x v="0"/>
  </r>
  <r>
    <n v="3344"/>
    <s v="Bruno Miranda"/>
    <x v="2"/>
    <x v="112"/>
    <x v="0"/>
    <n v="10"/>
    <x v="2"/>
    <x v="1"/>
    <s v="-"/>
    <x v="0"/>
    <n v="20"/>
    <n v="12"/>
    <n v="18"/>
    <x v="0"/>
  </r>
  <r>
    <n v="3345"/>
    <s v="Célia Torres"/>
    <x v="1"/>
    <x v="113"/>
    <x v="1"/>
    <n v="5"/>
    <x v="0"/>
    <x v="1"/>
    <s v="-"/>
    <x v="1"/>
    <n v="0"/>
    <n v="2"/>
    <n v="3"/>
    <x v="0"/>
  </r>
  <r>
    <n v="3346"/>
    <s v="Diogo Souza"/>
    <x v="0"/>
    <x v="114"/>
    <x v="0"/>
    <n v="15"/>
    <x v="1"/>
    <x v="0"/>
    <n v="30"/>
    <x v="0"/>
    <n v="20"/>
    <n v="5"/>
    <n v="60"/>
    <x v="0"/>
  </r>
  <r>
    <n v="3347"/>
    <s v="Elisa Castro"/>
    <x v="2"/>
    <x v="115"/>
    <x v="1"/>
    <n v="10"/>
    <x v="0"/>
    <x v="1"/>
    <s v="-"/>
    <x v="0"/>
    <n v="20"/>
    <n v="10"/>
    <n v="20"/>
    <x v="0"/>
  </r>
  <r>
    <n v="3348"/>
    <s v="Fátima Lima"/>
    <x v="1"/>
    <x v="116"/>
    <x v="0"/>
    <n v="5"/>
    <x v="2"/>
    <x v="1"/>
    <s v="-"/>
    <x v="1"/>
    <n v="0"/>
    <n v="0"/>
    <n v="5"/>
    <x v="1"/>
  </r>
  <r>
    <n v="3349"/>
    <s v="Geraldo Ribeiro"/>
    <x v="0"/>
    <x v="117"/>
    <x v="1"/>
    <n v="15"/>
    <x v="0"/>
    <x v="0"/>
    <n v="30"/>
    <x v="0"/>
    <n v="20"/>
    <n v="3"/>
    <n v="62"/>
    <x v="0"/>
  </r>
  <r>
    <n v="3350"/>
    <s v="Hélio Martins"/>
    <x v="2"/>
    <x v="118"/>
    <x v="0"/>
    <n v="10"/>
    <x v="1"/>
    <x v="1"/>
    <s v="-"/>
    <x v="0"/>
    <n v="20"/>
    <n v="15"/>
    <n v="15"/>
    <x v="0"/>
  </r>
  <r>
    <n v="3351"/>
    <s v="Íris Santos"/>
    <x v="1"/>
    <x v="119"/>
    <x v="1"/>
    <n v="5"/>
    <x v="0"/>
    <x v="1"/>
    <s v="-"/>
    <x v="1"/>
    <n v="0"/>
    <n v="1"/>
    <n v="4"/>
    <x v="0"/>
  </r>
  <r>
    <n v="3352"/>
    <s v="João Marcelo"/>
    <x v="0"/>
    <x v="120"/>
    <x v="0"/>
    <n v="15"/>
    <x v="2"/>
    <x v="0"/>
    <n v="30"/>
    <x v="0"/>
    <n v="20"/>
    <n v="7"/>
    <n v="58"/>
    <x v="0"/>
  </r>
  <r>
    <n v="3353"/>
    <s v="Larissa Gomes"/>
    <x v="2"/>
    <x v="121"/>
    <x v="1"/>
    <n v="10"/>
    <x v="0"/>
    <x v="1"/>
    <s v="-"/>
    <x v="0"/>
    <n v="20"/>
    <n v="10"/>
    <n v="20"/>
    <x v="0"/>
  </r>
  <r>
    <n v="3354"/>
    <s v="Márcio Silva"/>
    <x v="1"/>
    <x v="122"/>
    <x v="0"/>
    <n v="5"/>
    <x v="1"/>
    <x v="1"/>
    <s v="-"/>
    <x v="1"/>
    <n v="0"/>
    <n v="0"/>
    <n v="5"/>
    <x v="1"/>
  </r>
  <r>
    <n v="3355"/>
    <s v="Nadia Costa"/>
    <x v="0"/>
    <x v="123"/>
    <x v="1"/>
    <n v="15"/>
    <x v="0"/>
    <x v="0"/>
    <n v="30"/>
    <x v="0"/>
    <n v="20"/>
    <n v="20"/>
    <n v="45"/>
    <x v="0"/>
  </r>
  <r>
    <n v="3356"/>
    <s v="Oscar Almeida"/>
    <x v="2"/>
    <x v="124"/>
    <x v="0"/>
    <n v="10"/>
    <x v="2"/>
    <x v="1"/>
    <s v="-"/>
    <x v="0"/>
    <n v="20"/>
    <n v="15"/>
    <n v="15"/>
    <x v="0"/>
  </r>
  <r>
    <n v="3357"/>
    <s v="Patricia Soares"/>
    <x v="1"/>
    <x v="125"/>
    <x v="1"/>
    <n v="5"/>
    <x v="0"/>
    <x v="1"/>
    <s v="-"/>
    <x v="1"/>
    <n v="0"/>
    <n v="1"/>
    <n v="4"/>
    <x v="0"/>
  </r>
  <r>
    <n v="3358"/>
    <s v="Quênia Barros"/>
    <x v="0"/>
    <x v="126"/>
    <x v="0"/>
    <n v="15"/>
    <x v="1"/>
    <x v="0"/>
    <n v="30"/>
    <x v="0"/>
    <n v="20"/>
    <n v="3"/>
    <n v="62"/>
    <x v="0"/>
  </r>
  <r>
    <n v="3359"/>
    <s v="Rafael Torres"/>
    <x v="2"/>
    <x v="127"/>
    <x v="1"/>
    <n v="10"/>
    <x v="0"/>
    <x v="1"/>
    <s v="-"/>
    <x v="0"/>
    <n v="20"/>
    <n v="10"/>
    <n v="20"/>
    <x v="0"/>
  </r>
  <r>
    <n v="3360"/>
    <s v="Silvia Nascimento"/>
    <x v="1"/>
    <x v="128"/>
    <x v="0"/>
    <n v="5"/>
    <x v="2"/>
    <x v="1"/>
    <s v="-"/>
    <x v="1"/>
    <n v="0"/>
    <n v="0"/>
    <n v="5"/>
    <x v="1"/>
  </r>
  <r>
    <n v="3361"/>
    <s v="Tiago Mendes"/>
    <x v="0"/>
    <x v="129"/>
    <x v="1"/>
    <n v="15"/>
    <x v="0"/>
    <x v="0"/>
    <n v="30"/>
    <x v="0"/>
    <n v="20"/>
    <n v="15"/>
    <n v="50"/>
    <x v="0"/>
  </r>
  <r>
    <n v="3362"/>
    <s v="Ursula Silva"/>
    <x v="2"/>
    <x v="130"/>
    <x v="0"/>
    <n v="10"/>
    <x v="1"/>
    <x v="1"/>
    <s v="-"/>
    <x v="0"/>
    <n v="20"/>
    <n v="15"/>
    <n v="15"/>
    <x v="0"/>
  </r>
  <r>
    <n v="3363"/>
    <s v="Vanessa Moraes"/>
    <x v="1"/>
    <x v="131"/>
    <x v="1"/>
    <n v="5"/>
    <x v="0"/>
    <x v="1"/>
    <s v="-"/>
    <x v="1"/>
    <n v="0"/>
    <n v="1"/>
    <n v="4"/>
    <x v="0"/>
  </r>
  <r>
    <n v="3364"/>
    <s v="Waldir Junior"/>
    <x v="0"/>
    <x v="132"/>
    <x v="0"/>
    <n v="15"/>
    <x v="2"/>
    <x v="0"/>
    <n v="30"/>
    <x v="0"/>
    <n v="20"/>
    <n v="7"/>
    <n v="58"/>
    <x v="0"/>
  </r>
  <r>
    <n v="3365"/>
    <s v="Xavier Lopes"/>
    <x v="2"/>
    <x v="133"/>
    <x v="1"/>
    <n v="10"/>
    <x v="0"/>
    <x v="1"/>
    <s v="-"/>
    <x v="0"/>
    <n v="20"/>
    <n v="10"/>
    <n v="20"/>
    <x v="0"/>
  </r>
  <r>
    <n v="3366"/>
    <s v="Yolanda Freitas"/>
    <x v="1"/>
    <x v="134"/>
    <x v="0"/>
    <n v="5"/>
    <x v="0"/>
    <x v="1"/>
    <s v="-"/>
    <x v="1"/>
    <n v="0"/>
    <n v="0"/>
    <n v="5"/>
    <x v="1"/>
  </r>
  <r>
    <n v="3367"/>
    <s v="Zacarias Nunes"/>
    <x v="0"/>
    <x v="135"/>
    <x v="1"/>
    <n v="15"/>
    <x v="2"/>
    <x v="0"/>
    <n v="30"/>
    <x v="0"/>
    <n v="20"/>
    <n v="7"/>
    <n v="58"/>
    <x v="0"/>
  </r>
  <r>
    <n v="3368"/>
    <s v="Ana Clara Barreto"/>
    <x v="2"/>
    <x v="136"/>
    <x v="0"/>
    <n v="10"/>
    <x v="1"/>
    <x v="1"/>
    <s v="-"/>
    <x v="0"/>
    <n v="20"/>
    <n v="10"/>
    <n v="20"/>
    <x v="0"/>
  </r>
  <r>
    <n v="3369"/>
    <s v="Bruno Henrique"/>
    <x v="1"/>
    <x v="137"/>
    <x v="1"/>
    <n v="5"/>
    <x v="2"/>
    <x v="1"/>
    <s v="-"/>
    <x v="1"/>
    <n v="0"/>
    <n v="1"/>
    <n v="4"/>
    <x v="0"/>
  </r>
  <r>
    <n v="3370"/>
    <s v="Carlos Eduardo"/>
    <x v="0"/>
    <x v="138"/>
    <x v="0"/>
    <n v="15"/>
    <x v="0"/>
    <x v="0"/>
    <n v="30"/>
    <x v="0"/>
    <n v="20"/>
    <n v="15"/>
    <n v="50"/>
    <x v="0"/>
  </r>
  <r>
    <n v="3371"/>
    <s v="Débora Lima"/>
    <x v="2"/>
    <x v="139"/>
    <x v="1"/>
    <n v="10"/>
    <x v="0"/>
    <x v="1"/>
    <s v="-"/>
    <x v="0"/>
    <n v="20"/>
    <n v="5"/>
    <n v="25"/>
    <x v="0"/>
  </r>
  <r>
    <n v="3372"/>
    <s v="Elisa Neves"/>
    <x v="1"/>
    <x v="140"/>
    <x v="0"/>
    <n v="5"/>
    <x v="1"/>
    <x v="1"/>
    <s v="-"/>
    <x v="1"/>
    <n v="0"/>
    <n v="0"/>
    <n v="5"/>
    <x v="1"/>
  </r>
  <r>
    <n v="3373"/>
    <s v="Fabiano Gomes"/>
    <x v="0"/>
    <x v="141"/>
    <x v="1"/>
    <n v="15"/>
    <x v="2"/>
    <x v="0"/>
    <n v="30"/>
    <x v="0"/>
    <n v="20"/>
    <n v="20"/>
    <n v="45"/>
    <x v="0"/>
  </r>
  <r>
    <n v="3374"/>
    <s v="Gisele Oliveira"/>
    <x v="2"/>
    <x v="142"/>
    <x v="0"/>
    <n v="10"/>
    <x v="2"/>
    <x v="1"/>
    <s v="-"/>
    <x v="0"/>
    <n v="20"/>
    <n v="12"/>
    <n v="18"/>
    <x v="0"/>
  </r>
  <r>
    <n v="3375"/>
    <s v="Héctor Silva"/>
    <x v="1"/>
    <x v="143"/>
    <x v="1"/>
    <n v="5"/>
    <x v="0"/>
    <x v="1"/>
    <s v="-"/>
    <x v="1"/>
    <n v="0"/>
    <n v="2"/>
    <n v="3"/>
    <x v="0"/>
  </r>
  <r>
    <n v="3376"/>
    <s v="Igor Martins"/>
    <x v="0"/>
    <x v="144"/>
    <x v="0"/>
    <n v="15"/>
    <x v="1"/>
    <x v="0"/>
    <n v="30"/>
    <x v="0"/>
    <n v="20"/>
    <n v="5"/>
    <n v="60"/>
    <x v="0"/>
  </r>
  <r>
    <n v="3377"/>
    <s v="Joana Figueiredo"/>
    <x v="2"/>
    <x v="145"/>
    <x v="1"/>
    <n v="10"/>
    <x v="0"/>
    <x v="1"/>
    <s v="-"/>
    <x v="0"/>
    <n v="20"/>
    <n v="10"/>
    <n v="20"/>
    <x v="0"/>
  </r>
  <r>
    <n v="3378"/>
    <s v="Kleber Machado"/>
    <x v="1"/>
    <x v="146"/>
    <x v="0"/>
    <n v="5"/>
    <x v="2"/>
    <x v="1"/>
    <s v="-"/>
    <x v="1"/>
    <n v="0"/>
    <n v="0"/>
    <n v="5"/>
    <x v="1"/>
  </r>
  <r>
    <n v="3379"/>
    <s v="Luciana Santos"/>
    <x v="0"/>
    <x v="147"/>
    <x v="1"/>
    <n v="15"/>
    <x v="0"/>
    <x v="0"/>
    <n v="30"/>
    <x v="0"/>
    <n v="20"/>
    <n v="3"/>
    <n v="62"/>
    <x v="0"/>
  </r>
  <r>
    <n v="3380"/>
    <s v="Marcos Teixeira"/>
    <x v="2"/>
    <x v="148"/>
    <x v="0"/>
    <n v="10"/>
    <x v="1"/>
    <x v="1"/>
    <s v="-"/>
    <x v="0"/>
    <n v="20"/>
    <n v="15"/>
    <n v="15"/>
    <x v="0"/>
  </r>
  <r>
    <n v="3381"/>
    <s v="Natalia Costa"/>
    <x v="1"/>
    <x v="149"/>
    <x v="1"/>
    <n v="5"/>
    <x v="0"/>
    <x v="1"/>
    <s v="-"/>
    <x v="1"/>
    <n v="0"/>
    <n v="1"/>
    <n v="4"/>
    <x v="0"/>
  </r>
  <r>
    <n v="3382"/>
    <s v="Oscar Ribeiro"/>
    <x v="0"/>
    <x v="150"/>
    <x v="0"/>
    <n v="15"/>
    <x v="2"/>
    <x v="0"/>
    <n v="30"/>
    <x v="0"/>
    <n v="20"/>
    <n v="7"/>
    <n v="58"/>
    <x v="0"/>
  </r>
  <r>
    <n v="3383"/>
    <s v="Patricia Almeida"/>
    <x v="2"/>
    <x v="151"/>
    <x v="1"/>
    <n v="10"/>
    <x v="0"/>
    <x v="1"/>
    <s v="-"/>
    <x v="0"/>
    <n v="20"/>
    <n v="10"/>
    <n v="20"/>
    <x v="0"/>
  </r>
  <r>
    <n v="3384"/>
    <s v="Quirino Junior"/>
    <x v="1"/>
    <x v="152"/>
    <x v="0"/>
    <n v="5"/>
    <x v="1"/>
    <x v="1"/>
    <s v="-"/>
    <x v="1"/>
    <n v="0"/>
    <n v="0"/>
    <n v="5"/>
    <x v="1"/>
  </r>
  <r>
    <n v="3385"/>
    <s v="Renata Machado"/>
    <x v="0"/>
    <x v="153"/>
    <x v="1"/>
    <n v="15"/>
    <x v="0"/>
    <x v="0"/>
    <n v="30"/>
    <x v="0"/>
    <n v="20"/>
    <n v="20"/>
    <n v="45"/>
    <x v="0"/>
  </r>
  <r>
    <n v="3386"/>
    <s v="Sônia Alves"/>
    <x v="2"/>
    <x v="154"/>
    <x v="0"/>
    <n v="10"/>
    <x v="2"/>
    <x v="1"/>
    <s v="-"/>
    <x v="0"/>
    <n v="20"/>
    <n v="15"/>
    <n v="15"/>
    <x v="0"/>
  </r>
  <r>
    <n v="3387"/>
    <s v="Tiago Nunes"/>
    <x v="1"/>
    <x v="155"/>
    <x v="1"/>
    <n v="5"/>
    <x v="0"/>
    <x v="1"/>
    <s v="-"/>
    <x v="1"/>
    <n v="0"/>
    <n v="1"/>
    <n v="4"/>
    <x v="0"/>
  </r>
  <r>
    <n v="3388"/>
    <s v="Ulysses Pereira"/>
    <x v="0"/>
    <x v="156"/>
    <x v="0"/>
    <n v="15"/>
    <x v="1"/>
    <x v="0"/>
    <n v="30"/>
    <x v="0"/>
    <n v="20"/>
    <n v="3"/>
    <n v="62"/>
    <x v="0"/>
  </r>
  <r>
    <n v="3389"/>
    <s v="Vanessa Lima"/>
    <x v="2"/>
    <x v="157"/>
    <x v="1"/>
    <n v="10"/>
    <x v="0"/>
    <x v="1"/>
    <s v="-"/>
    <x v="0"/>
    <n v="20"/>
    <n v="10"/>
    <n v="20"/>
    <x v="0"/>
  </r>
  <r>
    <n v="3390"/>
    <s v="Wagner Santos"/>
    <x v="1"/>
    <x v="158"/>
    <x v="0"/>
    <n v="5"/>
    <x v="2"/>
    <x v="1"/>
    <s v="-"/>
    <x v="1"/>
    <n v="0"/>
    <n v="0"/>
    <n v="5"/>
    <x v="1"/>
  </r>
  <r>
    <n v="3391"/>
    <s v="Xuxa Meneghel"/>
    <x v="0"/>
    <x v="159"/>
    <x v="1"/>
    <n v="15"/>
    <x v="0"/>
    <x v="0"/>
    <n v="30"/>
    <x v="0"/>
    <n v="20"/>
    <n v="15"/>
    <n v="50"/>
    <x v="0"/>
  </r>
  <r>
    <n v="3392"/>
    <s v="Yasmin Silva"/>
    <x v="2"/>
    <x v="160"/>
    <x v="0"/>
    <n v="10"/>
    <x v="1"/>
    <x v="1"/>
    <s v="-"/>
    <x v="0"/>
    <n v="20"/>
    <n v="15"/>
    <n v="15"/>
    <x v="0"/>
  </r>
  <r>
    <n v="3393"/>
    <s v="Zacarias de Souza"/>
    <x v="1"/>
    <x v="161"/>
    <x v="1"/>
    <n v="5"/>
    <x v="0"/>
    <x v="1"/>
    <s v="-"/>
    <x v="1"/>
    <n v="0"/>
    <n v="1"/>
    <n v="4"/>
    <x v="0"/>
  </r>
  <r>
    <n v="3394"/>
    <s v="André Lima"/>
    <x v="0"/>
    <x v="162"/>
    <x v="0"/>
    <n v="15"/>
    <x v="2"/>
    <x v="0"/>
    <n v="30"/>
    <x v="0"/>
    <n v="20"/>
    <n v="7"/>
    <n v="58"/>
    <x v="0"/>
  </r>
  <r>
    <n v="3395"/>
    <s v="Bianca Freitas"/>
    <x v="2"/>
    <x v="163"/>
    <x v="1"/>
    <n v="10"/>
    <x v="0"/>
    <x v="1"/>
    <s v="-"/>
    <x v="0"/>
    <n v="20"/>
    <n v="10"/>
    <n v="20"/>
    <x v="0"/>
  </r>
  <r>
    <n v="3396"/>
    <s v="Caio Mendes"/>
    <x v="1"/>
    <x v="164"/>
    <x v="0"/>
    <n v="5"/>
    <x v="1"/>
    <x v="1"/>
    <s v="-"/>
    <x v="1"/>
    <n v="0"/>
    <n v="0"/>
    <n v="5"/>
    <x v="1"/>
  </r>
  <r>
    <n v="3397"/>
    <s v="Daniela Moura"/>
    <x v="0"/>
    <x v="165"/>
    <x v="1"/>
    <n v="15"/>
    <x v="0"/>
    <x v="0"/>
    <n v="30"/>
    <x v="0"/>
    <n v="20"/>
    <n v="20"/>
    <n v="45"/>
    <x v="0"/>
  </r>
  <r>
    <n v="3398"/>
    <s v="Eduardo Costa"/>
    <x v="2"/>
    <x v="166"/>
    <x v="0"/>
    <n v="10"/>
    <x v="2"/>
    <x v="1"/>
    <s v="-"/>
    <x v="0"/>
    <n v="20"/>
    <n v="15"/>
    <n v="15"/>
    <x v="0"/>
  </r>
  <r>
    <n v="3399"/>
    <s v="Fernanda Gomes"/>
    <x v="1"/>
    <x v="167"/>
    <x v="1"/>
    <n v="5"/>
    <x v="0"/>
    <x v="1"/>
    <s v="-"/>
    <x v="1"/>
    <n v="0"/>
    <n v="1"/>
    <n v="4"/>
    <x v="0"/>
  </r>
  <r>
    <n v="3400"/>
    <s v="Guilherme Souza"/>
    <x v="0"/>
    <x v="168"/>
    <x v="0"/>
    <n v="15"/>
    <x v="1"/>
    <x v="0"/>
    <n v="30"/>
    <x v="0"/>
    <n v="20"/>
    <n v="5"/>
    <n v="60"/>
    <x v="0"/>
  </r>
  <r>
    <n v="3401"/>
    <s v="Helena Ribeiro"/>
    <x v="2"/>
    <x v="169"/>
    <x v="1"/>
    <n v="10"/>
    <x v="0"/>
    <x v="1"/>
    <s v="-"/>
    <x v="0"/>
    <n v="20"/>
    <n v="10"/>
    <n v="20"/>
    <x v="0"/>
  </r>
  <r>
    <n v="3402"/>
    <s v="Igor Santos"/>
    <x v="1"/>
    <x v="170"/>
    <x v="0"/>
    <n v="5"/>
    <x v="2"/>
    <x v="1"/>
    <s v="-"/>
    <x v="1"/>
    <n v="0"/>
    <n v="0"/>
    <n v="5"/>
    <x v="1"/>
  </r>
  <r>
    <n v="3403"/>
    <s v="João Carvalho"/>
    <x v="0"/>
    <x v="171"/>
    <x v="1"/>
    <n v="15"/>
    <x v="0"/>
    <x v="0"/>
    <n v="30"/>
    <x v="0"/>
    <n v="20"/>
    <n v="3"/>
    <n v="62"/>
    <x v="0"/>
  </r>
  <r>
    <n v="3404"/>
    <s v="Klara Fagundes"/>
    <x v="2"/>
    <x v="172"/>
    <x v="0"/>
    <n v="10"/>
    <x v="1"/>
    <x v="1"/>
    <s v="-"/>
    <x v="0"/>
    <n v="20"/>
    <n v="15"/>
    <n v="15"/>
    <x v="0"/>
  </r>
  <r>
    <n v="3405"/>
    <s v="Lúcia Mendonça"/>
    <x v="1"/>
    <x v="173"/>
    <x v="1"/>
    <n v="5"/>
    <x v="0"/>
    <x v="1"/>
    <s v="-"/>
    <x v="1"/>
    <n v="0"/>
    <n v="1"/>
    <n v="4"/>
    <x v="0"/>
  </r>
  <r>
    <n v="3406"/>
    <s v="Marcelo Novaes"/>
    <x v="1"/>
    <x v="174"/>
    <x v="0"/>
    <n v="5"/>
    <x v="0"/>
    <x v="1"/>
    <s v="-"/>
    <x v="1"/>
    <n v="0"/>
    <n v="0"/>
    <n v="5"/>
    <x v="1"/>
  </r>
  <r>
    <n v="3407"/>
    <s v="Nina Pacheco"/>
    <x v="0"/>
    <x v="175"/>
    <x v="1"/>
    <n v="15"/>
    <x v="2"/>
    <x v="0"/>
    <n v="30"/>
    <x v="0"/>
    <n v="20"/>
    <n v="7"/>
    <n v="58"/>
    <x v="0"/>
  </r>
  <r>
    <n v="3408"/>
    <s v="Olívia Rios"/>
    <x v="2"/>
    <x v="176"/>
    <x v="0"/>
    <n v="10"/>
    <x v="1"/>
    <x v="1"/>
    <s v="-"/>
    <x v="0"/>
    <n v="20"/>
    <n v="10"/>
    <n v="20"/>
    <x v="0"/>
  </r>
  <r>
    <n v="3409"/>
    <s v="Paulo Quintana"/>
    <x v="1"/>
    <x v="177"/>
    <x v="1"/>
    <n v="5"/>
    <x v="2"/>
    <x v="1"/>
    <s v="-"/>
    <x v="1"/>
    <n v="0"/>
    <n v="1"/>
    <n v="4"/>
    <x v="0"/>
  </r>
  <r>
    <n v="3410"/>
    <s v="Raquel Domingos"/>
    <x v="0"/>
    <x v="178"/>
    <x v="0"/>
    <n v="15"/>
    <x v="0"/>
    <x v="0"/>
    <n v="30"/>
    <x v="0"/>
    <n v="20"/>
    <n v="15"/>
    <n v="50"/>
    <x v="0"/>
  </r>
  <r>
    <n v="3411"/>
    <s v="Samuel Viana"/>
    <x v="2"/>
    <x v="179"/>
    <x v="1"/>
    <n v="10"/>
    <x v="0"/>
    <x v="1"/>
    <s v="-"/>
    <x v="0"/>
    <n v="20"/>
    <n v="5"/>
    <n v="25"/>
    <x v="0"/>
  </r>
  <r>
    <n v="3412"/>
    <s v="Tatiane Rocha"/>
    <x v="1"/>
    <x v="180"/>
    <x v="0"/>
    <n v="5"/>
    <x v="1"/>
    <x v="1"/>
    <s v="-"/>
    <x v="1"/>
    <n v="0"/>
    <n v="0"/>
    <n v="5"/>
    <x v="1"/>
  </r>
  <r>
    <n v="3413"/>
    <s v="Ulysses Farias"/>
    <x v="0"/>
    <x v="181"/>
    <x v="1"/>
    <n v="15"/>
    <x v="2"/>
    <x v="0"/>
    <n v="30"/>
    <x v="0"/>
    <n v="20"/>
    <n v="20"/>
    <n v="45"/>
    <x v="0"/>
  </r>
  <r>
    <n v="3414"/>
    <s v="Vanessa Moreira"/>
    <x v="2"/>
    <x v="182"/>
    <x v="0"/>
    <n v="10"/>
    <x v="2"/>
    <x v="1"/>
    <s v="-"/>
    <x v="0"/>
    <n v="20"/>
    <n v="12"/>
    <n v="18"/>
    <x v="0"/>
  </r>
  <r>
    <n v="3415"/>
    <s v="William Carvalho"/>
    <x v="1"/>
    <x v="183"/>
    <x v="1"/>
    <n v="5"/>
    <x v="0"/>
    <x v="1"/>
    <s v="-"/>
    <x v="1"/>
    <n v="0"/>
    <n v="2"/>
    <n v="3"/>
    <x v="0"/>
  </r>
  <r>
    <n v="3416"/>
    <s v="Ximena Barros"/>
    <x v="0"/>
    <x v="184"/>
    <x v="0"/>
    <n v="15"/>
    <x v="1"/>
    <x v="0"/>
    <n v="30"/>
    <x v="0"/>
    <n v="20"/>
    <n v="5"/>
    <n v="60"/>
    <x v="0"/>
  </r>
  <r>
    <n v="3417"/>
    <s v="Yara Machado"/>
    <x v="2"/>
    <x v="185"/>
    <x v="1"/>
    <n v="10"/>
    <x v="0"/>
    <x v="1"/>
    <s v="-"/>
    <x v="0"/>
    <n v="20"/>
    <n v="10"/>
    <n v="20"/>
    <x v="0"/>
  </r>
  <r>
    <n v="3418"/>
    <s v="Zacarias Costa"/>
    <x v="1"/>
    <x v="186"/>
    <x v="0"/>
    <n v="5"/>
    <x v="2"/>
    <x v="1"/>
    <s v="-"/>
    <x v="1"/>
    <n v="0"/>
    <n v="0"/>
    <n v="5"/>
    <x v="1"/>
  </r>
  <r>
    <n v="3419"/>
    <s v="André Lopes"/>
    <x v="0"/>
    <x v="187"/>
    <x v="1"/>
    <n v="15"/>
    <x v="0"/>
    <x v="0"/>
    <n v="30"/>
    <x v="0"/>
    <n v="20"/>
    <n v="3"/>
    <n v="62"/>
    <x v="0"/>
  </r>
  <r>
    <n v="3420"/>
    <s v="Beatriz Souza"/>
    <x v="2"/>
    <x v="188"/>
    <x v="0"/>
    <n v="10"/>
    <x v="1"/>
    <x v="1"/>
    <s v="-"/>
    <x v="0"/>
    <n v="20"/>
    <n v="15"/>
    <n v="15"/>
    <x v="0"/>
  </r>
  <r>
    <n v="3421"/>
    <s v="Caio Pereira"/>
    <x v="1"/>
    <x v="189"/>
    <x v="1"/>
    <n v="5"/>
    <x v="0"/>
    <x v="1"/>
    <s v="-"/>
    <x v="1"/>
    <n v="0"/>
    <n v="1"/>
    <n v="4"/>
    <x v="0"/>
  </r>
  <r>
    <n v="3422"/>
    <s v="Daniela Araújo"/>
    <x v="0"/>
    <x v="190"/>
    <x v="0"/>
    <n v="15"/>
    <x v="2"/>
    <x v="0"/>
    <n v="30"/>
    <x v="0"/>
    <n v="20"/>
    <n v="7"/>
    <n v="58"/>
    <x v="0"/>
  </r>
  <r>
    <n v="3423"/>
    <s v="Eduardo Santos"/>
    <x v="2"/>
    <x v="191"/>
    <x v="1"/>
    <n v="10"/>
    <x v="0"/>
    <x v="1"/>
    <s v="-"/>
    <x v="0"/>
    <n v="20"/>
    <n v="10"/>
    <n v="20"/>
    <x v="0"/>
  </r>
  <r>
    <n v="3424"/>
    <s v="Fernanda Lima"/>
    <x v="1"/>
    <x v="192"/>
    <x v="0"/>
    <n v="5"/>
    <x v="1"/>
    <x v="1"/>
    <s v="-"/>
    <x v="1"/>
    <n v="0"/>
    <n v="0"/>
    <n v="5"/>
    <x v="1"/>
  </r>
  <r>
    <n v="3425"/>
    <s v="Gabriel Teixeira"/>
    <x v="0"/>
    <x v="193"/>
    <x v="1"/>
    <n v="15"/>
    <x v="0"/>
    <x v="0"/>
    <n v="30"/>
    <x v="0"/>
    <n v="20"/>
    <n v="20"/>
    <n v="45"/>
    <x v="0"/>
  </r>
  <r>
    <n v="3426"/>
    <s v="Helena Ribeiro"/>
    <x v="2"/>
    <x v="194"/>
    <x v="0"/>
    <n v="10"/>
    <x v="2"/>
    <x v="1"/>
    <s v="-"/>
    <x v="0"/>
    <n v="20"/>
    <n v="15"/>
    <n v="15"/>
    <x v="0"/>
  </r>
  <r>
    <n v="3427"/>
    <s v="Igor Mendes"/>
    <x v="1"/>
    <x v="195"/>
    <x v="1"/>
    <n v="5"/>
    <x v="0"/>
    <x v="1"/>
    <s v="-"/>
    <x v="1"/>
    <n v="0"/>
    <n v="1"/>
    <n v="4"/>
    <x v="0"/>
  </r>
  <r>
    <n v="3428"/>
    <s v="Joana Silveira"/>
    <x v="0"/>
    <x v="196"/>
    <x v="0"/>
    <n v="15"/>
    <x v="1"/>
    <x v="0"/>
    <n v="30"/>
    <x v="0"/>
    <n v="20"/>
    <n v="3"/>
    <n v="62"/>
    <x v="0"/>
  </r>
  <r>
    <n v="3429"/>
    <s v="Lucas Martins"/>
    <x v="2"/>
    <x v="197"/>
    <x v="1"/>
    <n v="10"/>
    <x v="0"/>
    <x v="1"/>
    <s v="-"/>
    <x v="0"/>
    <n v="20"/>
    <n v="10"/>
    <n v="20"/>
    <x v="0"/>
  </r>
  <r>
    <n v="3430"/>
    <s v="Marcela Gouveia"/>
    <x v="1"/>
    <x v="198"/>
    <x v="0"/>
    <n v="5"/>
    <x v="2"/>
    <x v="1"/>
    <s v="-"/>
    <x v="1"/>
    <n v="0"/>
    <n v="0"/>
    <n v="5"/>
    <x v="1"/>
  </r>
  <r>
    <n v="3431"/>
    <s v="Nicolas Borges"/>
    <x v="0"/>
    <x v="199"/>
    <x v="1"/>
    <n v="15"/>
    <x v="0"/>
    <x v="0"/>
    <n v="30"/>
    <x v="0"/>
    <n v="20"/>
    <n v="15"/>
    <n v="50"/>
    <x v="0"/>
  </r>
  <r>
    <n v="3432"/>
    <s v="Olivia Freitas"/>
    <x v="2"/>
    <x v="200"/>
    <x v="0"/>
    <n v="10"/>
    <x v="1"/>
    <x v="1"/>
    <s v="-"/>
    <x v="0"/>
    <n v="20"/>
    <n v="15"/>
    <n v="15"/>
    <x v="0"/>
  </r>
  <r>
    <n v="3433"/>
    <s v="Paulo Nogueira"/>
    <x v="1"/>
    <x v="201"/>
    <x v="1"/>
    <n v="5"/>
    <x v="0"/>
    <x v="1"/>
    <s v="-"/>
    <x v="1"/>
    <n v="0"/>
    <n v="1"/>
    <n v="4"/>
    <x v="0"/>
  </r>
  <r>
    <n v="3434"/>
    <s v="Raquel Andrade"/>
    <x v="0"/>
    <x v="202"/>
    <x v="0"/>
    <n v="15"/>
    <x v="2"/>
    <x v="0"/>
    <n v="30"/>
    <x v="0"/>
    <n v="20"/>
    <n v="7"/>
    <n v="58"/>
    <x v="0"/>
  </r>
  <r>
    <n v="3435"/>
    <s v="Sônia Carvalho"/>
    <x v="2"/>
    <x v="203"/>
    <x v="1"/>
    <n v="10"/>
    <x v="0"/>
    <x v="1"/>
    <s v="-"/>
    <x v="0"/>
    <n v="20"/>
    <n v="10"/>
    <n v="20"/>
    <x v="0"/>
  </r>
  <r>
    <n v="3436"/>
    <s v="Tiago Rodrigues"/>
    <x v="1"/>
    <x v="204"/>
    <x v="0"/>
    <n v="5"/>
    <x v="0"/>
    <x v="1"/>
    <s v="-"/>
    <x v="1"/>
    <n v="0"/>
    <n v="0"/>
    <n v="5"/>
    <x v="1"/>
  </r>
  <r>
    <n v="3437"/>
    <s v="Ursula Monteiro"/>
    <x v="0"/>
    <x v="205"/>
    <x v="1"/>
    <n v="15"/>
    <x v="2"/>
    <x v="0"/>
    <n v="30"/>
    <x v="0"/>
    <n v="20"/>
    <n v="7"/>
    <n v="58"/>
    <x v="0"/>
  </r>
  <r>
    <n v="3438"/>
    <s v="Vanessa Pereira"/>
    <x v="2"/>
    <x v="206"/>
    <x v="0"/>
    <n v="10"/>
    <x v="1"/>
    <x v="1"/>
    <s v="-"/>
    <x v="0"/>
    <n v="20"/>
    <n v="10"/>
    <n v="20"/>
    <x v="0"/>
  </r>
  <r>
    <n v="3439"/>
    <s v="Walter Silva"/>
    <x v="1"/>
    <x v="207"/>
    <x v="1"/>
    <n v="5"/>
    <x v="2"/>
    <x v="1"/>
    <s v="-"/>
    <x v="1"/>
    <n v="0"/>
    <n v="1"/>
    <n v="4"/>
    <x v="0"/>
  </r>
  <r>
    <n v="3440"/>
    <s v="Xavier Almeida"/>
    <x v="0"/>
    <x v="208"/>
    <x v="0"/>
    <n v="15"/>
    <x v="0"/>
    <x v="0"/>
    <n v="30"/>
    <x v="0"/>
    <n v="20"/>
    <n v="15"/>
    <n v="50"/>
    <x v="0"/>
  </r>
  <r>
    <n v="3441"/>
    <s v="Yasmine Correia"/>
    <x v="2"/>
    <x v="209"/>
    <x v="1"/>
    <n v="10"/>
    <x v="0"/>
    <x v="1"/>
    <s v="-"/>
    <x v="0"/>
    <n v="20"/>
    <n v="5"/>
    <n v="25"/>
    <x v="0"/>
  </r>
  <r>
    <n v="3442"/>
    <s v="Zacarias Almeida"/>
    <x v="1"/>
    <x v="210"/>
    <x v="0"/>
    <n v="5"/>
    <x v="1"/>
    <x v="1"/>
    <s v="-"/>
    <x v="1"/>
    <n v="0"/>
    <n v="0"/>
    <n v="5"/>
    <x v="1"/>
  </r>
  <r>
    <n v="3443"/>
    <s v="Amanda Costa"/>
    <x v="0"/>
    <x v="211"/>
    <x v="1"/>
    <n v="15"/>
    <x v="2"/>
    <x v="0"/>
    <n v="30"/>
    <x v="0"/>
    <n v="20"/>
    <n v="20"/>
    <n v="45"/>
    <x v="0"/>
  </r>
  <r>
    <n v="3444"/>
    <s v="Bruno Ferreira"/>
    <x v="2"/>
    <x v="212"/>
    <x v="0"/>
    <n v="10"/>
    <x v="2"/>
    <x v="1"/>
    <s v="-"/>
    <x v="0"/>
    <n v="20"/>
    <n v="12"/>
    <n v="18"/>
    <x v="0"/>
  </r>
  <r>
    <n v="3445"/>
    <s v="Carla Dias"/>
    <x v="1"/>
    <x v="213"/>
    <x v="1"/>
    <n v="5"/>
    <x v="0"/>
    <x v="1"/>
    <s v="-"/>
    <x v="1"/>
    <n v="0"/>
    <n v="2"/>
    <n v="3"/>
    <x v="0"/>
  </r>
  <r>
    <n v="3446"/>
    <s v="Diogo Martins"/>
    <x v="0"/>
    <x v="214"/>
    <x v="0"/>
    <n v="15"/>
    <x v="1"/>
    <x v="0"/>
    <n v="30"/>
    <x v="0"/>
    <n v="20"/>
    <n v="5"/>
    <n v="60"/>
    <x v="0"/>
  </r>
  <r>
    <n v="3447"/>
    <s v="Elisa Campos"/>
    <x v="2"/>
    <x v="215"/>
    <x v="1"/>
    <n v="10"/>
    <x v="0"/>
    <x v="1"/>
    <s v="-"/>
    <x v="0"/>
    <n v="20"/>
    <n v="10"/>
    <n v="20"/>
    <x v="0"/>
  </r>
  <r>
    <n v="3448"/>
    <s v="Fabiana Lima"/>
    <x v="1"/>
    <x v="216"/>
    <x v="0"/>
    <n v="5"/>
    <x v="2"/>
    <x v="1"/>
    <s v="-"/>
    <x v="1"/>
    <n v="0"/>
    <n v="0"/>
    <n v="5"/>
    <x v="1"/>
  </r>
  <r>
    <n v="3449"/>
    <s v="Gabriel Santos"/>
    <x v="0"/>
    <x v="217"/>
    <x v="1"/>
    <n v="15"/>
    <x v="0"/>
    <x v="0"/>
    <n v="30"/>
    <x v="0"/>
    <n v="20"/>
    <n v="3"/>
    <n v="62"/>
    <x v="0"/>
  </r>
  <r>
    <n v="3450"/>
    <s v="Helena Ferreira"/>
    <x v="2"/>
    <x v="218"/>
    <x v="0"/>
    <n v="10"/>
    <x v="1"/>
    <x v="1"/>
    <s v="-"/>
    <x v="0"/>
    <n v="20"/>
    <n v="15"/>
    <n v="15"/>
    <x v="0"/>
  </r>
  <r>
    <n v="3451"/>
    <s v="Ígor Nunes"/>
    <x v="1"/>
    <x v="219"/>
    <x v="1"/>
    <n v="5"/>
    <x v="0"/>
    <x v="1"/>
    <s v="-"/>
    <x v="1"/>
    <n v="0"/>
    <n v="1"/>
    <n v="4"/>
    <x v="0"/>
  </r>
  <r>
    <n v="3452"/>
    <s v="Joana Silveira"/>
    <x v="0"/>
    <x v="220"/>
    <x v="0"/>
    <n v="15"/>
    <x v="2"/>
    <x v="0"/>
    <n v="30"/>
    <x v="0"/>
    <n v="20"/>
    <n v="7"/>
    <n v="58"/>
    <x v="0"/>
  </r>
  <r>
    <n v="3453"/>
    <s v="Kléber Oliveira"/>
    <x v="2"/>
    <x v="221"/>
    <x v="1"/>
    <n v="10"/>
    <x v="0"/>
    <x v="1"/>
    <s v="-"/>
    <x v="0"/>
    <n v="20"/>
    <n v="10"/>
    <n v="20"/>
    <x v="0"/>
  </r>
  <r>
    <n v="3454"/>
    <s v="Luciana Morais"/>
    <x v="1"/>
    <x v="222"/>
    <x v="0"/>
    <n v="5"/>
    <x v="1"/>
    <x v="1"/>
    <s v="-"/>
    <x v="1"/>
    <n v="0"/>
    <n v="0"/>
    <n v="5"/>
    <x v="1"/>
  </r>
  <r>
    <n v="3455"/>
    <s v="Marcos Vinícius"/>
    <x v="0"/>
    <x v="223"/>
    <x v="1"/>
    <n v="15"/>
    <x v="0"/>
    <x v="0"/>
    <n v="30"/>
    <x v="0"/>
    <n v="20"/>
    <n v="20"/>
    <n v="45"/>
    <x v="0"/>
  </r>
  <r>
    <n v="3456"/>
    <s v="Natália Barros"/>
    <x v="2"/>
    <x v="224"/>
    <x v="0"/>
    <n v="10"/>
    <x v="2"/>
    <x v="1"/>
    <s v="-"/>
    <x v="0"/>
    <n v="20"/>
    <n v="15"/>
    <n v="15"/>
    <x v="0"/>
  </r>
  <r>
    <n v="3457"/>
    <s v="Oscar Sampaio"/>
    <x v="1"/>
    <x v="225"/>
    <x v="1"/>
    <n v="5"/>
    <x v="0"/>
    <x v="1"/>
    <s v="-"/>
    <x v="1"/>
    <n v="0"/>
    <n v="1"/>
    <n v="4"/>
    <x v="0"/>
  </r>
  <r>
    <n v="3458"/>
    <s v="Patrícia Leite"/>
    <x v="0"/>
    <x v="226"/>
    <x v="0"/>
    <n v="15"/>
    <x v="1"/>
    <x v="0"/>
    <n v="30"/>
    <x v="0"/>
    <n v="20"/>
    <n v="3"/>
    <n v="62"/>
    <x v="0"/>
  </r>
  <r>
    <n v="3459"/>
    <s v="Quênia Rocha"/>
    <x v="2"/>
    <x v="227"/>
    <x v="1"/>
    <n v="10"/>
    <x v="0"/>
    <x v="1"/>
    <s v="-"/>
    <x v="0"/>
    <n v="20"/>
    <n v="10"/>
    <n v="20"/>
    <x v="0"/>
  </r>
  <r>
    <n v="3460"/>
    <s v="Rafael Torres"/>
    <x v="1"/>
    <x v="228"/>
    <x v="0"/>
    <n v="5"/>
    <x v="2"/>
    <x v="1"/>
    <s v="-"/>
    <x v="1"/>
    <n v="0"/>
    <n v="0"/>
    <n v="5"/>
    <x v="1"/>
  </r>
  <r>
    <n v="3461"/>
    <s v="Sandra Gouveia"/>
    <x v="0"/>
    <x v="229"/>
    <x v="1"/>
    <n v="15"/>
    <x v="0"/>
    <x v="0"/>
    <n v="30"/>
    <x v="0"/>
    <n v="20"/>
    <n v="15"/>
    <n v="50"/>
    <x v="0"/>
  </r>
  <r>
    <n v="3462"/>
    <s v="Tiago Lacerda"/>
    <x v="2"/>
    <x v="230"/>
    <x v="0"/>
    <n v="10"/>
    <x v="1"/>
    <x v="1"/>
    <s v="-"/>
    <x v="0"/>
    <n v="20"/>
    <n v="15"/>
    <n v="15"/>
    <x v="0"/>
  </r>
  <r>
    <n v="3463"/>
    <s v="Ursula Fonseca"/>
    <x v="1"/>
    <x v="231"/>
    <x v="1"/>
    <n v="5"/>
    <x v="0"/>
    <x v="1"/>
    <s v="-"/>
    <x v="1"/>
    <n v="0"/>
    <n v="1"/>
    <n v="4"/>
    <x v="0"/>
  </r>
  <r>
    <n v="3464"/>
    <s v="Vanessa Andrade"/>
    <x v="0"/>
    <x v="232"/>
    <x v="0"/>
    <n v="15"/>
    <x v="2"/>
    <x v="0"/>
    <n v="30"/>
    <x v="0"/>
    <n v="20"/>
    <n v="7"/>
    <n v="58"/>
    <x v="0"/>
  </r>
  <r>
    <n v="3465"/>
    <s v="William Castro"/>
    <x v="2"/>
    <x v="233"/>
    <x v="1"/>
    <n v="10"/>
    <x v="0"/>
    <x v="1"/>
    <s v="-"/>
    <x v="0"/>
    <n v="20"/>
    <n v="10"/>
    <n v="20"/>
    <x v="0"/>
  </r>
  <r>
    <n v="3466"/>
    <s v="Xavier Monteiro"/>
    <x v="1"/>
    <x v="234"/>
    <x v="0"/>
    <n v="5"/>
    <x v="1"/>
    <x v="1"/>
    <s v="-"/>
    <x v="1"/>
    <n v="0"/>
    <n v="0"/>
    <n v="5"/>
    <x v="1"/>
  </r>
  <r>
    <n v="3467"/>
    <s v="Yasmin Figueira"/>
    <x v="0"/>
    <x v="235"/>
    <x v="1"/>
    <n v="15"/>
    <x v="0"/>
    <x v="0"/>
    <n v="30"/>
    <x v="0"/>
    <n v="20"/>
    <n v="15"/>
    <n v="50"/>
    <x v="0"/>
  </r>
  <r>
    <n v="3468"/>
    <s v="Zacarias Mendonça"/>
    <x v="2"/>
    <x v="236"/>
    <x v="0"/>
    <n v="10"/>
    <x v="2"/>
    <x v="1"/>
    <s v="-"/>
    <x v="0"/>
    <n v="20"/>
    <n v="12"/>
    <n v="18"/>
    <x v="0"/>
  </r>
  <r>
    <n v="3469"/>
    <s v="Amanda Menezes"/>
    <x v="1"/>
    <x v="237"/>
    <x v="1"/>
    <n v="5"/>
    <x v="0"/>
    <x v="1"/>
    <s v="-"/>
    <x v="1"/>
    <n v="0"/>
    <n v="2"/>
    <n v="3"/>
    <x v="0"/>
  </r>
  <r>
    <n v="3470"/>
    <s v="Bruno Santos"/>
    <x v="0"/>
    <x v="238"/>
    <x v="0"/>
    <n v="15"/>
    <x v="1"/>
    <x v="0"/>
    <n v="30"/>
    <x v="0"/>
    <n v="20"/>
    <n v="5"/>
    <n v="60"/>
    <x v="0"/>
  </r>
  <r>
    <n v="3471"/>
    <s v="Carla Ferreira"/>
    <x v="2"/>
    <x v="239"/>
    <x v="1"/>
    <n v="10"/>
    <x v="0"/>
    <x v="1"/>
    <s v="-"/>
    <x v="0"/>
    <n v="20"/>
    <n v="10"/>
    <n v="20"/>
    <x v="0"/>
  </r>
  <r>
    <n v="3472"/>
    <s v="Diogo Alves"/>
    <x v="1"/>
    <x v="240"/>
    <x v="0"/>
    <n v="5"/>
    <x v="2"/>
    <x v="1"/>
    <s v="-"/>
    <x v="1"/>
    <n v="0"/>
    <n v="0"/>
    <n v="5"/>
    <x v="1"/>
  </r>
  <r>
    <n v="3473"/>
    <s v="Elisa Neves"/>
    <x v="0"/>
    <x v="241"/>
    <x v="1"/>
    <n v="15"/>
    <x v="0"/>
    <x v="0"/>
    <n v="30"/>
    <x v="0"/>
    <n v="20"/>
    <n v="3"/>
    <n v="62"/>
    <x v="0"/>
  </r>
  <r>
    <n v="3474"/>
    <s v="Fabiano Pires"/>
    <x v="2"/>
    <x v="242"/>
    <x v="0"/>
    <n v="10"/>
    <x v="1"/>
    <x v="1"/>
    <s v="-"/>
    <x v="0"/>
    <n v="20"/>
    <n v="15"/>
    <n v="15"/>
    <x v="0"/>
  </r>
  <r>
    <n v="3475"/>
    <s v="Giovana Ribeiro"/>
    <x v="1"/>
    <x v="243"/>
    <x v="1"/>
    <n v="5"/>
    <x v="0"/>
    <x v="1"/>
    <s v="-"/>
    <x v="1"/>
    <n v="0"/>
    <n v="1"/>
    <n v="4"/>
    <x v="0"/>
  </r>
  <r>
    <n v="3476"/>
    <s v="Hélio Costa"/>
    <x v="0"/>
    <x v="244"/>
    <x v="0"/>
    <n v="15"/>
    <x v="2"/>
    <x v="0"/>
    <n v="30"/>
    <x v="0"/>
    <n v="20"/>
    <n v="7"/>
    <n v="58"/>
    <x v="0"/>
  </r>
  <r>
    <n v="3477"/>
    <s v="Íris Loureiro"/>
    <x v="2"/>
    <x v="245"/>
    <x v="1"/>
    <n v="10"/>
    <x v="0"/>
    <x v="1"/>
    <s v="-"/>
    <x v="0"/>
    <n v="20"/>
    <n v="10"/>
    <n v="20"/>
    <x v="0"/>
  </r>
  <r>
    <n v="3478"/>
    <s v="João Pereira"/>
    <x v="1"/>
    <x v="246"/>
    <x v="0"/>
    <n v="5"/>
    <x v="1"/>
    <x v="1"/>
    <s v="-"/>
    <x v="1"/>
    <n v="0"/>
    <n v="0"/>
    <n v="5"/>
    <x v="1"/>
  </r>
  <r>
    <n v="3479"/>
    <s v="Klara Silva"/>
    <x v="0"/>
    <x v="247"/>
    <x v="1"/>
    <n v="15"/>
    <x v="0"/>
    <x v="0"/>
    <n v="30"/>
    <x v="0"/>
    <n v="20"/>
    <n v="20"/>
    <n v="45"/>
    <x v="0"/>
  </r>
  <r>
    <n v="3480"/>
    <s v="Luciana Barros"/>
    <x v="2"/>
    <x v="248"/>
    <x v="0"/>
    <n v="10"/>
    <x v="2"/>
    <x v="1"/>
    <s v="-"/>
    <x v="0"/>
    <n v="20"/>
    <n v="15"/>
    <n v="15"/>
    <x v="0"/>
  </r>
  <r>
    <n v="3481"/>
    <s v="Marcos Gomes"/>
    <x v="1"/>
    <x v="249"/>
    <x v="1"/>
    <n v="5"/>
    <x v="0"/>
    <x v="1"/>
    <s v="-"/>
    <x v="1"/>
    <n v="0"/>
    <n v="1"/>
    <n v="4"/>
    <x v="0"/>
  </r>
  <r>
    <n v="3482"/>
    <s v="Natália Soares"/>
    <x v="0"/>
    <x v="250"/>
    <x v="0"/>
    <n v="15"/>
    <x v="1"/>
    <x v="0"/>
    <n v="30"/>
    <x v="0"/>
    <n v="20"/>
    <n v="3"/>
    <n v="62"/>
    <x v="0"/>
  </r>
  <r>
    <n v="3483"/>
    <s v="Oscar Machado"/>
    <x v="2"/>
    <x v="251"/>
    <x v="1"/>
    <n v="10"/>
    <x v="0"/>
    <x v="1"/>
    <s v="-"/>
    <x v="0"/>
    <n v="20"/>
    <n v="10"/>
    <n v="20"/>
    <x v="0"/>
  </r>
  <r>
    <n v="3484"/>
    <s v="Patrícia Lima"/>
    <x v="1"/>
    <x v="252"/>
    <x v="0"/>
    <n v="5"/>
    <x v="2"/>
    <x v="1"/>
    <s v="-"/>
    <x v="1"/>
    <n v="0"/>
    <n v="0"/>
    <n v="5"/>
    <x v="1"/>
  </r>
  <r>
    <n v="3485"/>
    <s v="Quirino Neto"/>
    <x v="0"/>
    <x v="253"/>
    <x v="1"/>
    <n v="15"/>
    <x v="0"/>
    <x v="0"/>
    <n v="30"/>
    <x v="0"/>
    <n v="20"/>
    <n v="15"/>
    <n v="50"/>
    <x v="0"/>
  </r>
  <r>
    <n v="3486"/>
    <s v="Rafaela Souza"/>
    <x v="1"/>
    <x v="254"/>
    <x v="0"/>
    <n v="5"/>
    <x v="0"/>
    <x v="1"/>
    <s v="-"/>
    <x v="1"/>
    <n v="0"/>
    <n v="0"/>
    <n v="5"/>
    <x v="1"/>
  </r>
  <r>
    <n v="3487"/>
    <s v="Sandro Almeida"/>
    <x v="0"/>
    <x v="255"/>
    <x v="1"/>
    <n v="15"/>
    <x v="2"/>
    <x v="0"/>
    <n v="30"/>
    <x v="0"/>
    <n v="20"/>
    <n v="7"/>
    <n v="58"/>
    <x v="0"/>
  </r>
  <r>
    <n v="3488"/>
    <s v="Tânia Ribeiro"/>
    <x v="2"/>
    <x v="256"/>
    <x v="0"/>
    <n v="10"/>
    <x v="1"/>
    <x v="1"/>
    <s v="-"/>
    <x v="0"/>
    <n v="20"/>
    <n v="10"/>
    <n v="20"/>
    <x v="0"/>
  </r>
  <r>
    <n v="3489"/>
    <s v="Ugo Dias"/>
    <x v="1"/>
    <x v="257"/>
    <x v="1"/>
    <n v="5"/>
    <x v="2"/>
    <x v="1"/>
    <s v="-"/>
    <x v="1"/>
    <n v="0"/>
    <n v="1"/>
    <n v="4"/>
    <x v="0"/>
  </r>
  <r>
    <n v="3490"/>
    <s v="Valéria Lima"/>
    <x v="0"/>
    <x v="258"/>
    <x v="0"/>
    <n v="15"/>
    <x v="0"/>
    <x v="0"/>
    <n v="30"/>
    <x v="0"/>
    <n v="20"/>
    <n v="15"/>
    <n v="50"/>
    <x v="0"/>
  </r>
  <r>
    <n v="3491"/>
    <s v="William Fernandes"/>
    <x v="2"/>
    <x v="259"/>
    <x v="1"/>
    <n v="10"/>
    <x v="0"/>
    <x v="1"/>
    <s v="-"/>
    <x v="0"/>
    <n v="20"/>
    <n v="5"/>
    <n v="25"/>
    <x v="0"/>
  </r>
  <r>
    <n v="3492"/>
    <s v="Xuxa Mendes"/>
    <x v="1"/>
    <x v="260"/>
    <x v="0"/>
    <n v="5"/>
    <x v="1"/>
    <x v="1"/>
    <s v="-"/>
    <x v="1"/>
    <n v="0"/>
    <n v="0"/>
    <n v="5"/>
    <x v="1"/>
  </r>
  <r>
    <n v="3493"/>
    <s v="Ygor Farias"/>
    <x v="0"/>
    <x v="261"/>
    <x v="1"/>
    <n v="15"/>
    <x v="2"/>
    <x v="0"/>
    <n v="30"/>
    <x v="0"/>
    <n v="20"/>
    <n v="20"/>
    <n v="45"/>
    <x v="0"/>
  </r>
  <r>
    <n v="3494"/>
    <s v="Zilda Barros"/>
    <x v="2"/>
    <x v="262"/>
    <x v="0"/>
    <n v="10"/>
    <x v="2"/>
    <x v="1"/>
    <s v="-"/>
    <x v="0"/>
    <n v="20"/>
    <n v="12"/>
    <n v="18"/>
    <x v="0"/>
  </r>
  <r>
    <n v="3495"/>
    <s v="Amanda Santos"/>
    <x v="1"/>
    <x v="263"/>
    <x v="1"/>
    <n v="5"/>
    <x v="0"/>
    <x v="1"/>
    <s v="-"/>
    <x v="1"/>
    <n v="0"/>
    <n v="2"/>
    <n v="3"/>
    <x v="0"/>
  </r>
  <r>
    <n v="3496"/>
    <s v="Bruno Costa"/>
    <x v="0"/>
    <x v="264"/>
    <x v="0"/>
    <n v="15"/>
    <x v="1"/>
    <x v="0"/>
    <n v="30"/>
    <x v="0"/>
    <n v="20"/>
    <n v="5"/>
    <n v="60"/>
    <x v="0"/>
  </r>
  <r>
    <n v="3497"/>
    <s v="Carla Rodrigues"/>
    <x v="2"/>
    <x v="265"/>
    <x v="1"/>
    <n v="10"/>
    <x v="0"/>
    <x v="1"/>
    <s v="-"/>
    <x v="0"/>
    <n v="20"/>
    <n v="10"/>
    <n v="20"/>
    <x v="0"/>
  </r>
  <r>
    <n v="3498"/>
    <s v="Diogo Pereira"/>
    <x v="1"/>
    <x v="266"/>
    <x v="0"/>
    <n v="5"/>
    <x v="2"/>
    <x v="1"/>
    <s v="-"/>
    <x v="1"/>
    <n v="0"/>
    <n v="0"/>
    <n v="5"/>
    <x v="1"/>
  </r>
  <r>
    <n v="3499"/>
    <s v="Elisa Correia"/>
    <x v="0"/>
    <x v="267"/>
    <x v="1"/>
    <n v="15"/>
    <x v="0"/>
    <x v="0"/>
    <n v="30"/>
    <x v="0"/>
    <n v="20"/>
    <n v="3"/>
    <n v="62"/>
    <x v="0"/>
  </r>
  <r>
    <n v="3500"/>
    <s v="Fábio Lourenço"/>
    <x v="2"/>
    <x v="268"/>
    <x v="0"/>
    <n v="10"/>
    <x v="1"/>
    <x v="1"/>
    <s v="-"/>
    <x v="0"/>
    <n v="20"/>
    <n v="15"/>
    <n v="15"/>
    <x v="0"/>
  </r>
  <r>
    <n v="3501"/>
    <s v="Gabriela Neves"/>
    <x v="1"/>
    <x v="269"/>
    <x v="1"/>
    <n v="5"/>
    <x v="0"/>
    <x v="1"/>
    <s v="-"/>
    <x v="1"/>
    <n v="0"/>
    <n v="1"/>
    <n v="4"/>
    <x v="0"/>
  </r>
  <r>
    <n v="3502"/>
    <s v="Henrique Gonçalves"/>
    <x v="0"/>
    <x v="270"/>
    <x v="0"/>
    <n v="15"/>
    <x v="2"/>
    <x v="0"/>
    <n v="30"/>
    <x v="0"/>
    <n v="20"/>
    <n v="7"/>
    <n v="58"/>
    <x v="0"/>
  </r>
  <r>
    <n v="3503"/>
    <s v="Íris Santos"/>
    <x v="2"/>
    <x v="271"/>
    <x v="1"/>
    <n v="10"/>
    <x v="0"/>
    <x v="1"/>
    <s v="-"/>
    <x v="0"/>
    <n v="20"/>
    <n v="10"/>
    <n v="20"/>
    <x v="0"/>
  </r>
  <r>
    <n v="3504"/>
    <s v="João Marcelo Alves"/>
    <x v="1"/>
    <x v="272"/>
    <x v="0"/>
    <n v="5"/>
    <x v="1"/>
    <x v="1"/>
    <s v="-"/>
    <x v="1"/>
    <n v="0"/>
    <n v="0"/>
    <n v="5"/>
    <x v="1"/>
  </r>
  <r>
    <n v="3505"/>
    <s v="Klara Fonseca"/>
    <x v="0"/>
    <x v="273"/>
    <x v="1"/>
    <n v="15"/>
    <x v="0"/>
    <x v="0"/>
    <n v="30"/>
    <x v="0"/>
    <n v="20"/>
    <n v="20"/>
    <n v="45"/>
    <x v="0"/>
  </r>
  <r>
    <n v="3506"/>
    <s v="Lucas Mendonça"/>
    <x v="2"/>
    <x v="274"/>
    <x v="0"/>
    <n v="10"/>
    <x v="2"/>
    <x v="1"/>
    <s v="-"/>
    <x v="0"/>
    <n v="20"/>
    <n v="15"/>
    <n v="15"/>
    <x v="0"/>
  </r>
  <r>
    <n v="3507"/>
    <s v="Marcela Torres"/>
    <x v="1"/>
    <x v="275"/>
    <x v="1"/>
    <n v="5"/>
    <x v="0"/>
    <x v="1"/>
    <s v="-"/>
    <x v="1"/>
    <n v="0"/>
    <n v="1"/>
    <n v="4"/>
    <x v="0"/>
  </r>
  <r>
    <n v="3508"/>
    <s v="Natália Castro"/>
    <x v="0"/>
    <x v="276"/>
    <x v="0"/>
    <n v="15"/>
    <x v="1"/>
    <x v="0"/>
    <n v="30"/>
    <x v="0"/>
    <n v="20"/>
    <n v="3"/>
    <n v="62"/>
    <x v="0"/>
  </r>
  <r>
    <n v="3509"/>
    <s v="Oscar Martins"/>
    <x v="2"/>
    <x v="277"/>
    <x v="1"/>
    <n v="10"/>
    <x v="0"/>
    <x v="1"/>
    <s v="-"/>
    <x v="0"/>
    <n v="20"/>
    <n v="10"/>
    <n v="20"/>
    <x v="0"/>
  </r>
  <r>
    <n v="3510"/>
    <s v="Patrícia Oliveira"/>
    <x v="1"/>
    <x v="278"/>
    <x v="0"/>
    <n v="5"/>
    <x v="2"/>
    <x v="1"/>
    <s v="-"/>
    <x v="1"/>
    <n v="0"/>
    <n v="0"/>
    <n v="5"/>
    <x v="1"/>
  </r>
  <r>
    <n v="3511"/>
    <s v="Quentin Nogueira"/>
    <x v="0"/>
    <x v="279"/>
    <x v="1"/>
    <n v="15"/>
    <x v="0"/>
    <x v="0"/>
    <n v="30"/>
    <x v="0"/>
    <n v="20"/>
    <n v="15"/>
    <n v="50"/>
    <x v="0"/>
  </r>
  <r>
    <n v="3512"/>
    <s v="Raquel Silva"/>
    <x v="2"/>
    <x v="280"/>
    <x v="0"/>
    <n v="10"/>
    <x v="1"/>
    <x v="1"/>
    <s v="-"/>
    <x v="0"/>
    <n v="20"/>
    <n v="15"/>
    <n v="15"/>
    <x v="0"/>
  </r>
  <r>
    <n v="3513"/>
    <s v="Sandro Gomes"/>
    <x v="1"/>
    <x v="281"/>
    <x v="1"/>
    <n v="5"/>
    <x v="0"/>
    <x v="1"/>
    <s v="-"/>
    <x v="1"/>
    <n v="0"/>
    <n v="1"/>
    <n v="4"/>
    <x v="0"/>
  </r>
  <r>
    <n v="3514"/>
    <s v="Tânia Machado"/>
    <x v="0"/>
    <x v="282"/>
    <x v="0"/>
    <n v="15"/>
    <x v="2"/>
    <x v="0"/>
    <n v="30"/>
    <x v="0"/>
    <n v="20"/>
    <n v="7"/>
    <n v="58"/>
    <x v="0"/>
  </r>
  <r>
    <n v="3515"/>
    <s v="Ursula Silva"/>
    <x v="2"/>
    <x v="283"/>
    <x v="1"/>
    <n v="10"/>
    <x v="0"/>
    <x v="1"/>
    <s v="-"/>
    <x v="0"/>
    <n v="20"/>
    <n v="10"/>
    <n v="20"/>
    <x v="0"/>
  </r>
  <r>
    <n v="3516"/>
    <s v="Vanessa Moraes"/>
    <x v="1"/>
    <x v="284"/>
    <x v="0"/>
    <n v="5"/>
    <x v="1"/>
    <x v="1"/>
    <s v="-"/>
    <x v="1"/>
    <n v="0"/>
    <n v="0"/>
    <n v="5"/>
    <x v="1"/>
  </r>
  <r>
    <n v="3517"/>
    <s v="William Carvalho"/>
    <x v="0"/>
    <x v="285"/>
    <x v="1"/>
    <n v="15"/>
    <x v="0"/>
    <x v="0"/>
    <n v="30"/>
    <x v="0"/>
    <n v="20"/>
    <n v="20"/>
    <n v="45"/>
    <x v="0"/>
  </r>
  <r>
    <n v="3518"/>
    <s v="Xavier Reis"/>
    <x v="2"/>
    <x v="286"/>
    <x v="0"/>
    <n v="10"/>
    <x v="2"/>
    <x v="1"/>
    <s v="-"/>
    <x v="0"/>
    <n v="20"/>
    <n v="12"/>
    <n v="18"/>
    <x v="0"/>
  </r>
  <r>
    <n v="3519"/>
    <s v="Yasmin Rocha"/>
    <x v="1"/>
    <x v="287"/>
    <x v="1"/>
    <n v="5"/>
    <x v="0"/>
    <x v="1"/>
    <s v="-"/>
    <x v="1"/>
    <n v="0"/>
    <n v="2"/>
    <n v="3"/>
    <x v="0"/>
  </r>
  <r>
    <n v="3520"/>
    <s v="Zacarias Duarte"/>
    <x v="0"/>
    <x v="288"/>
    <x v="0"/>
    <n v="15"/>
    <x v="1"/>
    <x v="0"/>
    <n v="30"/>
    <x v="0"/>
    <n v="20"/>
    <n v="5"/>
    <n v="60"/>
    <x v="0"/>
  </r>
  <r>
    <n v="3521"/>
    <s v="Amanda Freitas"/>
    <x v="2"/>
    <x v="289"/>
    <x v="1"/>
    <n v="10"/>
    <x v="0"/>
    <x v="1"/>
    <s v="-"/>
    <x v="0"/>
    <n v="20"/>
    <n v="10"/>
    <n v="20"/>
    <x v="0"/>
  </r>
  <r>
    <n v="3522"/>
    <s v="Bruno Almeida"/>
    <x v="1"/>
    <x v="290"/>
    <x v="0"/>
    <n v="5"/>
    <x v="2"/>
    <x v="1"/>
    <s v="-"/>
    <x v="1"/>
    <n v="0"/>
    <n v="0"/>
    <n v="5"/>
    <x v="1"/>
  </r>
  <r>
    <n v="3523"/>
    <s v="Carla Siqueira"/>
    <x v="0"/>
    <x v="291"/>
    <x v="1"/>
    <n v="15"/>
    <x v="0"/>
    <x v="0"/>
    <n v="30"/>
    <x v="0"/>
    <n v="20"/>
    <n v="3"/>
    <n v="62"/>
    <x v="0"/>
  </r>
  <r>
    <n v="3524"/>
    <s v="Diogo Ramos"/>
    <x v="2"/>
    <x v="292"/>
    <x v="0"/>
    <n v="10"/>
    <x v="1"/>
    <x v="1"/>
    <s v="-"/>
    <x v="0"/>
    <n v="20"/>
    <n v="15"/>
    <n v="15"/>
    <x v="0"/>
  </r>
  <r>
    <n v="3525"/>
    <s v="Elisa Magalhães"/>
    <x v="1"/>
    <x v="293"/>
    <x v="1"/>
    <n v="5"/>
    <x v="0"/>
    <x v="1"/>
    <s v="-"/>
    <x v="1"/>
    <n v="0"/>
    <n v="1"/>
    <n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979FA8-C9C0-4A33-BA82-A6BFFBB8025A}" name="Tabela dinâmica1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4">
  <location ref="B100:C103" firstHeaderRow="1" firstDataRow="1" firstDataCol="1" rowPageCount="1" colPageCount="1"/>
  <pivotFields count="15"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numFmtId="44" showAll="0"/>
    <pivotField numFmtId="44" showAll="0"/>
    <pivotField dataField="1" numFmtId="44" showAll="0"/>
    <pivotField showAll="0">
      <items count="3">
        <item x="1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2"/>
  </dataFields>
  <formats count="2">
    <format dxfId="1">
      <pivotArea outline="0" collapsedLevelsAreSubtotals="1" fieldPosition="0"/>
    </format>
    <format dxfId="0">
      <pivotArea collapsedLevelsAreSubtotals="1" fieldPosition="0">
        <references count="1">
          <reference field="4" count="0"/>
        </references>
      </pivotArea>
    </format>
  </formats>
  <chartFormats count="3"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1A791D-AD17-4ECC-88A7-A49D5D546944}" name="Tabela dinâmica10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4">
  <location ref="B80:C93" firstHeaderRow="1" firstDataRow="1" firstDataCol="1"/>
  <pivotFields count="15">
    <pivotField showAll="0"/>
    <pivotField showAll="0"/>
    <pivotField showAll="0">
      <items count="4">
        <item x="1"/>
        <item x="2"/>
        <item x="0"/>
        <item t="default"/>
      </items>
    </pivotField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numFmtId="44" showAll="0"/>
    <pivotField numFmtId="44" showAll="0"/>
    <pivotField dataField="1" numFmtId="44" showAll="0"/>
    <pivotField showAll="0">
      <items count="3">
        <item x="1"/>
        <item x="0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4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Total Value" fld="12" baseField="14" baseItem="1"/>
  </dataFields>
  <formats count="1">
    <format dxfId="2">
      <pivotArea outline="0" collapsedLevelsAreSubtotals="1" fieldPosition="0"/>
    </format>
  </formats>
  <chartFormats count="4"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725B4A-70F8-47AE-AD6B-3800A51F1914}" name="Tabela dinâmica4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1">
  <location ref="B43:C47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/>
  </dataFields>
  <formats count="1">
    <format dxfId="3">
      <pivotArea outline="0" collapsedLevelsAreSubtotals="1" fieldPosition="0"/>
    </format>
  </formats>
  <chartFormats count="3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1F88D8-330A-4DC5-BC07-3DFC0F9C1B4D}" name="Tabela dinâmica9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3">
  <location ref="B72:C75" firstHeaderRow="1" firstDataRow="1" firstDataCol="1" rowPageCount="1" colPageCount="1"/>
  <pivotFields count="15"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numFmtId="44" showAll="0"/>
    <pivotField numFmtId="44" showAll="0"/>
    <pivotField dataField="1" numFmtId="44" showAll="0"/>
    <pivotField axis="axisRow" showAll="0">
      <items count="3">
        <item x="1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/>
  </dataFields>
  <formats count="1">
    <format dxfId="4">
      <pivotArea outline="0" collapsedLevelsAreSubtotals="1" fieldPosition="0"/>
    </format>
  </formats>
  <chartFormats count="2"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409445-97B9-4A22-BC4E-20DF27F47087}" name="Tabela dinâmica3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B34:C38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BEED3F-D5B2-45AE-B99E-C4D5C42691DF}" name="tbl_easeasonpass_total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B24:C28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 numFmtId="165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9C54F4-6984-42E8-AB77-7DB18AEBCEF4}" name="Tabela dinâmica7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2">
  <location ref="E62:F65" firstHeaderRow="1" firstDataRow="1" firstDataCol="1" rowPageCount="1" colPageCount="1"/>
  <pivotFields count="15"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numFmtId="44" showAll="0"/>
    <pivotField numFmtId="44" showAll="0"/>
    <pivotField dataField="1" numFmtId="4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/>
  </dataFields>
  <formats count="1">
    <format dxfId="7">
      <pivotArea outline="0" collapsedLevelsAreSubtotals="1" fieldPosition="0"/>
    </format>
  </formats>
  <chartFormats count="1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C801BA-140E-4E2E-9597-B99575CA98FA}" name="Tabela dinâ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9">
  <location ref="B15:C18" firstHeaderRow="1" firstDataRow="1" firstDataCol="1" rowPageCount="1" colPageCount="1"/>
  <pivotFields count="15"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5"/>
  </dataFields>
  <formats count="1">
    <format dxfId="8">
      <pivotArea outline="0" collapsedLevelsAreSubtotals="1" fieldPosition="0"/>
    </format>
  </format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B9CBC6-0CD7-4AB5-A796-27E3EFCCCC6C}" name="Tabela dinâmica6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9">
  <location ref="B62:C65" firstHeaderRow="1" firstDataRow="1" firstDataCol="1" rowPageCount="1" colPageCount="1"/>
  <pivotFields count="15"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numFmtId="44" showAll="0"/>
    <pivotField numFmtId="44" showAll="0"/>
    <pivotField dataField="1" numFmtId="4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/>
  </dataFields>
  <formats count="1">
    <format dxfId="9">
      <pivotArea outline="0" collapsedLevelsAreSubtotals="1" fieldPosition="0"/>
    </format>
  </formats>
  <chartFormats count="1"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064FF2-B782-427E-8ECE-AC603D063BF2}" name="Tabela dinâmica5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7">
  <location ref="B51:C55" firstHeaderRow="1" firstDataRow="1" firstDataCol="1"/>
  <pivotFields count="15">
    <pivotField dataField="1"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Subscriber ID" fld="0" subtotal="count" baseField="5" baseItem="0"/>
  </dataFields>
  <formats count="1">
    <format dxfId="10">
      <pivotArea outline="0" collapsedLevelsAreSubtotals="1" fieldPosition="0"/>
    </format>
  </formats>
  <chartFormats count="4"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B2AD5886-0FE6-44DD-83FE-7ACCE4975813}" sourceName="Subscription Type">
  <pivotTables>
    <pivotTable tabId="3" name="Tabela dinâmica1"/>
    <pivotTable tabId="3" name="tbl_easeasonpass_total"/>
    <pivotTable tabId="3" name="Tabela dinâmica3"/>
    <pivotTable tabId="3" name="Tabela dinâmica4"/>
    <pivotTable tabId="3" name="Tabela dinâmica5"/>
    <pivotTable tabId="3" name="Tabela dinâmica6"/>
    <pivotTable tabId="3" name="Tabela dinâmica7"/>
    <pivotTable tabId="3" name="Tabela dinâmica9"/>
    <pivotTable tabId="3" name="Tabela dinâmica10"/>
    <pivotTable tabId="3" name="Tabela dinâmica11"/>
  </pivotTables>
  <data>
    <tabular pivotCacheId="89376313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40FE7899-A88E-444B-BAE3-BA252A7AB36F}" cache="SegmentaçãodeDados_Subscription_Type" caption="Subscription Type" style="SlicerStyleLight6 2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ED870DB7-3016-4A97-814F-44CB76516D5E}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N296" totalsRowShown="0" dataDxfId="25">
  <autoFilter ref="A1:N296" xr:uid="{34E0E886-4200-4B36-97B3-63DB74FF40A0}"/>
  <tableColumns count="14">
    <tableColumn id="1" xr3:uid="{C4A90516-688A-46BF-9167-EA16C2A8A652}" name="Subscriber ID" dataDxfId="24"/>
    <tableColumn id="2" xr3:uid="{53DD39D0-2220-4121-9E9D-4EAA7E151C0F}" name="Name" dataDxfId="23"/>
    <tableColumn id="3" xr3:uid="{4F5FF271-4C57-4BE0-8F2C-F82C8551625C}" name="Plan" dataDxfId="22"/>
    <tableColumn id="4" xr3:uid="{8C17EB93-79B9-4E55-B8F7-BEB82F8253E9}" name="Start Date" dataDxfId="21"/>
    <tableColumn id="5" xr3:uid="{48CEDF9B-1689-482A-A828-5CCE7713264A}" name="Auto Renewal" dataDxfId="20"/>
    <tableColumn id="6" xr3:uid="{78B82374-9AA7-4E38-AE4F-78CDE6C83720}" name="Subscription Price" dataDxfId="19" dataCellStyle="Moeda"/>
    <tableColumn id="7" xr3:uid="{F2433F68-AF33-49D0-B1FB-19A396074EDE}" name="Subscription Type" dataDxfId="18"/>
    <tableColumn id="8" xr3:uid="{FD4D9C95-F6E5-4933-9068-A71FF7DF9343}" name="EA Play Season Pass" dataDxfId="17"/>
    <tableColumn id="13" xr3:uid="{978DD0D2-834E-4CE4-A39B-30976086932F}" name="EA Play Season Pass_x000a_Price" dataDxfId="16" dataCellStyle="Moeda"/>
    <tableColumn id="9" xr3:uid="{6E29F111-C395-4580-9DAD-3407D9E8B1A4}" name="Minecraft Season Pass" dataDxfId="15"/>
    <tableColumn id="10" xr3:uid="{EF544EAA-7F25-4FD5-A10E-8E62804DB9E3}" name="Minecraft Season Pass Price" dataDxfId="14" dataCellStyle="Moeda"/>
    <tableColumn id="11" xr3:uid="{7F6EB64A-1F07-4E48-9F0F-AC7D9DCD26F8}" name="Coupon Value" dataDxfId="13" dataCellStyle="Moeda"/>
    <tableColumn id="12" xr3:uid="{2B04ABC8-DE6F-426E-ADC0-D8AFC68CA58E}" name="Total Value" dataDxfId="12" dataCellStyle="Moeda"/>
    <tableColumn id="14" xr3:uid="{21916D22-FFE4-4478-AFFC-5AB0B0B2EB6F}" name="Coupon Used" dataDxfId="11" dataCellStyle="Moeda">
      <calculatedColumnFormula>IF(Tabela1[[#This Row],[Coupon Value]]&gt;0,"Yes","No")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8" sqref="B8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N296"/>
  <sheetViews>
    <sheetView topLeftCell="A265" zoomScale="90" zoomScaleNormal="90" workbookViewId="0">
      <selection activeCell="N2" sqref="N2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5" bestFit="1" customWidth="1"/>
  </cols>
  <sheetData>
    <row r="1" spans="1:14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  <c r="N1" s="8" t="s">
        <v>332</v>
      </c>
    </row>
    <row r="2" spans="1:14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  <c r="N2" s="11" t="str">
        <f>IF(Tabela1[[#This Row],[Coupon Value]]&gt;0,"Yes","No")</f>
        <v>Yes</v>
      </c>
    </row>
    <row r="3" spans="1:14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  <c r="N3" s="11" t="str">
        <f>IF(Tabela1[[#This Row],[Coupon Value]]&gt;0,"Yes","No")</f>
        <v>No</v>
      </c>
    </row>
    <row r="4" spans="1:14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  <c r="N4" s="11" t="str">
        <f>IF(Tabela1[[#This Row],[Coupon Value]]&gt;0,"Yes","No")</f>
        <v>Yes</v>
      </c>
    </row>
    <row r="5" spans="1:14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  <c r="N5" s="11" t="str">
        <f>IF(Tabela1[[#This Row],[Coupon Value]]&gt;0,"Yes","No")</f>
        <v>Yes</v>
      </c>
    </row>
    <row r="6" spans="1:14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  <c r="N6" s="11" t="str">
        <f>IF(Tabela1[[#This Row],[Coupon Value]]&gt;0,"Yes","No")</f>
        <v>Yes</v>
      </c>
    </row>
    <row r="7" spans="1:14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  <c r="N7" s="11" t="str">
        <f>IF(Tabela1[[#This Row],[Coupon Value]]&gt;0,"Yes","No")</f>
        <v>Yes</v>
      </c>
    </row>
    <row r="8" spans="1:14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  <c r="N8" s="11" t="str">
        <f>IF(Tabela1[[#This Row],[Coupon Value]]&gt;0,"Yes","No")</f>
        <v>Yes</v>
      </c>
    </row>
    <row r="9" spans="1:14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  <c r="N9" s="11" t="str">
        <f>IF(Tabela1[[#This Row],[Coupon Value]]&gt;0,"Yes","No")</f>
        <v>No</v>
      </c>
    </row>
    <row r="10" spans="1:14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  <c r="N10" s="11" t="str">
        <f>IF(Tabela1[[#This Row],[Coupon Value]]&gt;0,"Yes","No")</f>
        <v>Yes</v>
      </c>
    </row>
    <row r="11" spans="1:14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  <c r="N11" s="11" t="str">
        <f>IF(Tabela1[[#This Row],[Coupon Value]]&gt;0,"Yes","No")</f>
        <v>Yes</v>
      </c>
    </row>
    <row r="12" spans="1:14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  <c r="N12" s="11" t="str">
        <f>IF(Tabela1[[#This Row],[Coupon Value]]&gt;0,"Yes","No")</f>
        <v>Yes</v>
      </c>
    </row>
    <row r="13" spans="1:14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  <c r="N13" s="11" t="str">
        <f>IF(Tabela1[[#This Row],[Coupon Value]]&gt;0,"Yes","No")</f>
        <v>Yes</v>
      </c>
    </row>
    <row r="14" spans="1:14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  <c r="N14" s="11" t="str">
        <f>IF(Tabela1[[#This Row],[Coupon Value]]&gt;0,"Yes","No")</f>
        <v>Yes</v>
      </c>
    </row>
    <row r="15" spans="1:14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  <c r="N15" s="11" t="str">
        <f>IF(Tabela1[[#This Row],[Coupon Value]]&gt;0,"Yes","No")</f>
        <v>No</v>
      </c>
    </row>
    <row r="16" spans="1:14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  <c r="N16" s="11" t="str">
        <f>IF(Tabela1[[#This Row],[Coupon Value]]&gt;0,"Yes","No")</f>
        <v>Yes</v>
      </c>
    </row>
    <row r="17" spans="1:14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  <c r="N17" s="11" t="str">
        <f>IF(Tabela1[[#This Row],[Coupon Value]]&gt;0,"Yes","No")</f>
        <v>Yes</v>
      </c>
    </row>
    <row r="18" spans="1:14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  <c r="N18" s="11" t="str">
        <f>IF(Tabela1[[#This Row],[Coupon Value]]&gt;0,"Yes","No")</f>
        <v>Yes</v>
      </c>
    </row>
    <row r="19" spans="1:14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  <c r="N19" s="11" t="str">
        <f>IF(Tabela1[[#This Row],[Coupon Value]]&gt;0,"Yes","No")</f>
        <v>Yes</v>
      </c>
    </row>
    <row r="20" spans="1:14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  <c r="N20" s="11" t="str">
        <f>IF(Tabela1[[#This Row],[Coupon Value]]&gt;0,"Yes","No")</f>
        <v>Yes</v>
      </c>
    </row>
    <row r="21" spans="1:14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  <c r="N21" s="11" t="str">
        <f>IF(Tabela1[[#This Row],[Coupon Value]]&gt;0,"Yes","No")</f>
        <v>No</v>
      </c>
    </row>
    <row r="22" spans="1:14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  <c r="N22" s="11" t="str">
        <f>IF(Tabela1[[#This Row],[Coupon Value]]&gt;0,"Yes","No")</f>
        <v>Yes</v>
      </c>
    </row>
    <row r="23" spans="1:14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  <c r="N23" s="11" t="str">
        <f>IF(Tabela1[[#This Row],[Coupon Value]]&gt;0,"Yes","No")</f>
        <v>Yes</v>
      </c>
    </row>
    <row r="24" spans="1:14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  <c r="N24" s="11" t="str">
        <f>IF(Tabela1[[#This Row],[Coupon Value]]&gt;0,"Yes","No")</f>
        <v>Yes</v>
      </c>
    </row>
    <row r="25" spans="1:14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  <c r="N25" s="11" t="str">
        <f>IF(Tabela1[[#This Row],[Coupon Value]]&gt;0,"Yes","No")</f>
        <v>Yes</v>
      </c>
    </row>
    <row r="26" spans="1:14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  <c r="N26" s="11" t="str">
        <f>IF(Tabela1[[#This Row],[Coupon Value]]&gt;0,"Yes","No")</f>
        <v>Yes</v>
      </c>
    </row>
    <row r="27" spans="1:14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  <c r="N27" s="11" t="str">
        <f>IF(Tabela1[[#This Row],[Coupon Value]]&gt;0,"Yes","No")</f>
        <v>No</v>
      </c>
    </row>
    <row r="28" spans="1:14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  <c r="N28" s="11" t="str">
        <f>IF(Tabela1[[#This Row],[Coupon Value]]&gt;0,"Yes","No")</f>
        <v>Yes</v>
      </c>
    </row>
    <row r="29" spans="1:14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  <c r="N29" s="11" t="str">
        <f>IF(Tabela1[[#This Row],[Coupon Value]]&gt;0,"Yes","No")</f>
        <v>Yes</v>
      </c>
    </row>
    <row r="30" spans="1:14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  <c r="N30" s="11" t="str">
        <f>IF(Tabela1[[#This Row],[Coupon Value]]&gt;0,"Yes","No")</f>
        <v>Yes</v>
      </c>
    </row>
    <row r="31" spans="1:14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  <c r="N31" s="11" t="str">
        <f>IF(Tabela1[[#This Row],[Coupon Value]]&gt;0,"Yes","No")</f>
        <v>Yes</v>
      </c>
    </row>
    <row r="32" spans="1:14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  <c r="N32" s="11" t="str">
        <f>IF(Tabela1[[#This Row],[Coupon Value]]&gt;0,"Yes","No")</f>
        <v>Yes</v>
      </c>
    </row>
    <row r="33" spans="1:14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  <c r="N33" s="11" t="str">
        <f>IF(Tabela1[[#This Row],[Coupon Value]]&gt;0,"Yes","No")</f>
        <v>No</v>
      </c>
    </row>
    <row r="34" spans="1:14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  <c r="N34" s="11" t="str">
        <f>IF(Tabela1[[#This Row],[Coupon Value]]&gt;0,"Yes","No")</f>
        <v>Yes</v>
      </c>
    </row>
    <row r="35" spans="1:14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  <c r="N35" s="11" t="str">
        <f>IF(Tabela1[[#This Row],[Coupon Value]]&gt;0,"Yes","No")</f>
        <v>Yes</v>
      </c>
    </row>
    <row r="36" spans="1:14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  <c r="N36" s="11" t="str">
        <f>IF(Tabela1[[#This Row],[Coupon Value]]&gt;0,"Yes","No")</f>
        <v>Yes</v>
      </c>
    </row>
    <row r="37" spans="1:14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  <c r="N37" s="11" t="str">
        <f>IF(Tabela1[[#This Row],[Coupon Value]]&gt;0,"Yes","No")</f>
        <v>No</v>
      </c>
    </row>
    <row r="38" spans="1:14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  <c r="N38" s="11" t="str">
        <f>IF(Tabela1[[#This Row],[Coupon Value]]&gt;0,"Yes","No")</f>
        <v>Yes</v>
      </c>
    </row>
    <row r="39" spans="1:14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  <c r="N39" s="11" t="str">
        <f>IF(Tabela1[[#This Row],[Coupon Value]]&gt;0,"Yes","No")</f>
        <v>Yes</v>
      </c>
    </row>
    <row r="40" spans="1:14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  <c r="N40" s="11" t="str">
        <f>IF(Tabela1[[#This Row],[Coupon Value]]&gt;0,"Yes","No")</f>
        <v>Yes</v>
      </c>
    </row>
    <row r="41" spans="1:14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  <c r="N41" s="11" t="str">
        <f>IF(Tabela1[[#This Row],[Coupon Value]]&gt;0,"Yes","No")</f>
        <v>Yes</v>
      </c>
    </row>
    <row r="42" spans="1:14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  <c r="N42" s="11" t="str">
        <f>IF(Tabela1[[#This Row],[Coupon Value]]&gt;0,"Yes","No")</f>
        <v>Yes</v>
      </c>
    </row>
    <row r="43" spans="1:14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  <c r="N43" s="11" t="str">
        <f>IF(Tabela1[[#This Row],[Coupon Value]]&gt;0,"Yes","No")</f>
        <v>No</v>
      </c>
    </row>
    <row r="44" spans="1:14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  <c r="N44" s="11" t="str">
        <f>IF(Tabela1[[#This Row],[Coupon Value]]&gt;0,"Yes","No")</f>
        <v>Yes</v>
      </c>
    </row>
    <row r="45" spans="1:14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  <c r="N45" s="11" t="str">
        <f>IF(Tabela1[[#This Row],[Coupon Value]]&gt;0,"Yes","No")</f>
        <v>Yes</v>
      </c>
    </row>
    <row r="46" spans="1:14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  <c r="N46" s="11" t="str">
        <f>IF(Tabela1[[#This Row],[Coupon Value]]&gt;0,"Yes","No")</f>
        <v>Yes</v>
      </c>
    </row>
    <row r="47" spans="1:14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  <c r="N47" s="11" t="str">
        <f>IF(Tabela1[[#This Row],[Coupon Value]]&gt;0,"Yes","No")</f>
        <v>Yes</v>
      </c>
    </row>
    <row r="48" spans="1:14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  <c r="N48" s="11" t="str">
        <f>IF(Tabela1[[#This Row],[Coupon Value]]&gt;0,"Yes","No")</f>
        <v>Yes</v>
      </c>
    </row>
    <row r="49" spans="1:14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  <c r="N49" s="11" t="str">
        <f>IF(Tabela1[[#This Row],[Coupon Value]]&gt;0,"Yes","No")</f>
        <v>No</v>
      </c>
    </row>
    <row r="50" spans="1:14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  <c r="N50" s="11" t="str">
        <f>IF(Tabela1[[#This Row],[Coupon Value]]&gt;0,"Yes","No")</f>
        <v>Yes</v>
      </c>
    </row>
    <row r="51" spans="1:14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  <c r="N51" s="11" t="str">
        <f>IF(Tabela1[[#This Row],[Coupon Value]]&gt;0,"Yes","No")</f>
        <v>Yes</v>
      </c>
    </row>
    <row r="52" spans="1:14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  <c r="N52" s="11" t="str">
        <f>IF(Tabela1[[#This Row],[Coupon Value]]&gt;0,"Yes","No")</f>
        <v>Yes</v>
      </c>
    </row>
    <row r="53" spans="1:14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  <c r="N53" s="11" t="str">
        <f>IF(Tabela1[[#This Row],[Coupon Value]]&gt;0,"Yes","No")</f>
        <v>Yes</v>
      </c>
    </row>
    <row r="54" spans="1:14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  <c r="N54" s="11" t="str">
        <f>IF(Tabela1[[#This Row],[Coupon Value]]&gt;0,"Yes","No")</f>
        <v>Yes</v>
      </c>
    </row>
    <row r="55" spans="1:14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  <c r="N55" s="11" t="str">
        <f>IF(Tabela1[[#This Row],[Coupon Value]]&gt;0,"Yes","No")</f>
        <v>No</v>
      </c>
    </row>
    <row r="56" spans="1:14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  <c r="N56" s="11" t="str">
        <f>IF(Tabela1[[#This Row],[Coupon Value]]&gt;0,"Yes","No")</f>
        <v>Yes</v>
      </c>
    </row>
    <row r="57" spans="1:14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  <c r="N57" s="11" t="str">
        <f>IF(Tabela1[[#This Row],[Coupon Value]]&gt;0,"Yes","No")</f>
        <v>Yes</v>
      </c>
    </row>
    <row r="58" spans="1:14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  <c r="N58" s="11" t="str">
        <f>IF(Tabela1[[#This Row],[Coupon Value]]&gt;0,"Yes","No")</f>
        <v>Yes</v>
      </c>
    </row>
    <row r="59" spans="1:14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  <c r="N59" s="11" t="str">
        <f>IF(Tabela1[[#This Row],[Coupon Value]]&gt;0,"Yes","No")</f>
        <v>Yes</v>
      </c>
    </row>
    <row r="60" spans="1:14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  <c r="N60" s="11" t="str">
        <f>IF(Tabela1[[#This Row],[Coupon Value]]&gt;0,"Yes","No")</f>
        <v>Yes</v>
      </c>
    </row>
    <row r="61" spans="1:14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  <c r="N61" s="11" t="str">
        <f>IF(Tabela1[[#This Row],[Coupon Value]]&gt;0,"Yes","No")</f>
        <v>No</v>
      </c>
    </row>
    <row r="62" spans="1:14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  <c r="N62" s="11" t="str">
        <f>IF(Tabela1[[#This Row],[Coupon Value]]&gt;0,"Yes","No")</f>
        <v>Yes</v>
      </c>
    </row>
    <row r="63" spans="1:14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  <c r="N63" s="11" t="str">
        <f>IF(Tabela1[[#This Row],[Coupon Value]]&gt;0,"Yes","No")</f>
        <v>Yes</v>
      </c>
    </row>
    <row r="64" spans="1:14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  <c r="N64" s="11" t="str">
        <f>IF(Tabela1[[#This Row],[Coupon Value]]&gt;0,"Yes","No")</f>
        <v>Yes</v>
      </c>
    </row>
    <row r="65" spans="1:14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  <c r="N65" s="11" t="str">
        <f>IF(Tabela1[[#This Row],[Coupon Value]]&gt;0,"Yes","No")</f>
        <v>Yes</v>
      </c>
    </row>
    <row r="66" spans="1:14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  <c r="N66" s="11" t="str">
        <f>IF(Tabela1[[#This Row],[Coupon Value]]&gt;0,"Yes","No")</f>
        <v>Yes</v>
      </c>
    </row>
    <row r="67" spans="1:14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  <c r="N67" s="11" t="str">
        <f>IF(Tabela1[[#This Row],[Coupon Value]]&gt;0,"Yes","No")</f>
        <v>No</v>
      </c>
    </row>
    <row r="68" spans="1:14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  <c r="N68" s="11" t="str">
        <f>IF(Tabela1[[#This Row],[Coupon Value]]&gt;0,"Yes","No")</f>
        <v>Yes</v>
      </c>
    </row>
    <row r="69" spans="1:14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  <c r="N69" s="11" t="str">
        <f>IF(Tabela1[[#This Row],[Coupon Value]]&gt;0,"Yes","No")</f>
        <v>Yes</v>
      </c>
    </row>
    <row r="70" spans="1:14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  <c r="N70" s="11" t="str">
        <f>IF(Tabela1[[#This Row],[Coupon Value]]&gt;0,"Yes","No")</f>
        <v>Yes</v>
      </c>
    </row>
    <row r="71" spans="1:14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  <c r="N71" s="11" t="str">
        <f>IF(Tabela1[[#This Row],[Coupon Value]]&gt;0,"Yes","No")</f>
        <v>Yes</v>
      </c>
    </row>
    <row r="72" spans="1:14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  <c r="N72" s="11" t="str">
        <f>IF(Tabela1[[#This Row],[Coupon Value]]&gt;0,"Yes","No")</f>
        <v>Yes</v>
      </c>
    </row>
    <row r="73" spans="1:14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  <c r="N73" s="11" t="str">
        <f>IF(Tabela1[[#This Row],[Coupon Value]]&gt;0,"Yes","No")</f>
        <v>No</v>
      </c>
    </row>
    <row r="74" spans="1:14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  <c r="N74" s="11" t="str">
        <f>IF(Tabela1[[#This Row],[Coupon Value]]&gt;0,"Yes","No")</f>
        <v>Yes</v>
      </c>
    </row>
    <row r="75" spans="1:14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  <c r="N75" s="11" t="str">
        <f>IF(Tabela1[[#This Row],[Coupon Value]]&gt;0,"Yes","No")</f>
        <v>Yes</v>
      </c>
    </row>
    <row r="76" spans="1:14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  <c r="N76" s="11" t="str">
        <f>IF(Tabela1[[#This Row],[Coupon Value]]&gt;0,"Yes","No")</f>
        <v>Yes</v>
      </c>
    </row>
    <row r="77" spans="1:14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  <c r="N77" s="11" t="str">
        <f>IF(Tabela1[[#This Row],[Coupon Value]]&gt;0,"Yes","No")</f>
        <v>Yes</v>
      </c>
    </row>
    <row r="78" spans="1:14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  <c r="N78" s="11" t="str">
        <f>IF(Tabela1[[#This Row],[Coupon Value]]&gt;0,"Yes","No")</f>
        <v>Yes</v>
      </c>
    </row>
    <row r="79" spans="1:14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  <c r="N79" s="11" t="str">
        <f>IF(Tabela1[[#This Row],[Coupon Value]]&gt;0,"Yes","No")</f>
        <v>No</v>
      </c>
    </row>
    <row r="80" spans="1:14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  <c r="N80" s="11" t="str">
        <f>IF(Tabela1[[#This Row],[Coupon Value]]&gt;0,"Yes","No")</f>
        <v>Yes</v>
      </c>
    </row>
    <row r="81" spans="1:14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  <c r="N81" s="11" t="str">
        <f>IF(Tabela1[[#This Row],[Coupon Value]]&gt;0,"Yes","No")</f>
        <v>Yes</v>
      </c>
    </row>
    <row r="82" spans="1:14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  <c r="N82" s="11" t="str">
        <f>IF(Tabela1[[#This Row],[Coupon Value]]&gt;0,"Yes","No")</f>
        <v>Yes</v>
      </c>
    </row>
    <row r="83" spans="1:14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  <c r="N83" s="11" t="str">
        <f>IF(Tabela1[[#This Row],[Coupon Value]]&gt;0,"Yes","No")</f>
        <v>Yes</v>
      </c>
    </row>
    <row r="84" spans="1:14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  <c r="N84" s="11" t="str">
        <f>IF(Tabela1[[#This Row],[Coupon Value]]&gt;0,"Yes","No")</f>
        <v>Yes</v>
      </c>
    </row>
    <row r="85" spans="1:14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  <c r="N85" s="11" t="str">
        <f>IF(Tabela1[[#This Row],[Coupon Value]]&gt;0,"Yes","No")</f>
        <v>No</v>
      </c>
    </row>
    <row r="86" spans="1:14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  <c r="N86" s="11" t="str">
        <f>IF(Tabela1[[#This Row],[Coupon Value]]&gt;0,"Yes","No")</f>
        <v>Yes</v>
      </c>
    </row>
    <row r="87" spans="1:14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  <c r="N87" s="11" t="str">
        <f>IF(Tabela1[[#This Row],[Coupon Value]]&gt;0,"Yes","No")</f>
        <v>Yes</v>
      </c>
    </row>
    <row r="88" spans="1:14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  <c r="N88" s="11" t="str">
        <f>IF(Tabela1[[#This Row],[Coupon Value]]&gt;0,"Yes","No")</f>
        <v>Yes</v>
      </c>
    </row>
    <row r="89" spans="1:14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  <c r="N89" s="11" t="str">
        <f>IF(Tabela1[[#This Row],[Coupon Value]]&gt;0,"Yes","No")</f>
        <v>Yes</v>
      </c>
    </row>
    <row r="90" spans="1:14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  <c r="N90" s="11" t="str">
        <f>IF(Tabela1[[#This Row],[Coupon Value]]&gt;0,"Yes","No")</f>
        <v>Yes</v>
      </c>
    </row>
    <row r="91" spans="1:14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  <c r="N91" s="11" t="str">
        <f>IF(Tabela1[[#This Row],[Coupon Value]]&gt;0,"Yes","No")</f>
        <v>No</v>
      </c>
    </row>
    <row r="92" spans="1:14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  <c r="N92" s="11" t="str">
        <f>IF(Tabela1[[#This Row],[Coupon Value]]&gt;0,"Yes","No")</f>
        <v>Yes</v>
      </c>
    </row>
    <row r="93" spans="1:14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  <c r="N93" s="11" t="str">
        <f>IF(Tabela1[[#This Row],[Coupon Value]]&gt;0,"Yes","No")</f>
        <v>Yes</v>
      </c>
    </row>
    <row r="94" spans="1:14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  <c r="N94" s="11" t="str">
        <f>IF(Tabela1[[#This Row],[Coupon Value]]&gt;0,"Yes","No")</f>
        <v>Yes</v>
      </c>
    </row>
    <row r="95" spans="1:14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  <c r="N95" s="11" t="str">
        <f>IF(Tabela1[[#This Row],[Coupon Value]]&gt;0,"Yes","No")</f>
        <v>Yes</v>
      </c>
    </row>
    <row r="96" spans="1:14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  <c r="N96" s="11" t="str">
        <f>IF(Tabela1[[#This Row],[Coupon Value]]&gt;0,"Yes","No")</f>
        <v>Yes</v>
      </c>
    </row>
    <row r="97" spans="1:14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  <c r="N97" s="11" t="str">
        <f>IF(Tabela1[[#This Row],[Coupon Value]]&gt;0,"Yes","No")</f>
        <v>No</v>
      </c>
    </row>
    <row r="98" spans="1:14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  <c r="N98" s="11" t="str">
        <f>IF(Tabela1[[#This Row],[Coupon Value]]&gt;0,"Yes","No")</f>
        <v>Yes</v>
      </c>
    </row>
    <row r="99" spans="1:14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  <c r="N99" s="11" t="str">
        <f>IF(Tabela1[[#This Row],[Coupon Value]]&gt;0,"Yes","No")</f>
        <v>Yes</v>
      </c>
    </row>
    <row r="100" spans="1:14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  <c r="N100" s="11" t="str">
        <f>IF(Tabela1[[#This Row],[Coupon Value]]&gt;0,"Yes","No")</f>
        <v>Yes</v>
      </c>
    </row>
    <row r="101" spans="1:14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  <c r="N101" s="11" t="str">
        <f>IF(Tabela1[[#This Row],[Coupon Value]]&gt;0,"Yes","No")</f>
        <v>Yes</v>
      </c>
    </row>
    <row r="102" spans="1:14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  <c r="N102" s="11" t="str">
        <f>IF(Tabela1[[#This Row],[Coupon Value]]&gt;0,"Yes","No")</f>
        <v>Yes</v>
      </c>
    </row>
    <row r="103" spans="1:14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  <c r="N103" s="11" t="str">
        <f>IF(Tabela1[[#This Row],[Coupon Value]]&gt;0,"Yes","No")</f>
        <v>No</v>
      </c>
    </row>
    <row r="104" spans="1:14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  <c r="N104" s="11" t="str">
        <f>IF(Tabela1[[#This Row],[Coupon Value]]&gt;0,"Yes","No")</f>
        <v>Yes</v>
      </c>
    </row>
    <row r="105" spans="1:14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  <c r="N105" s="11" t="str">
        <f>IF(Tabela1[[#This Row],[Coupon Value]]&gt;0,"Yes","No")</f>
        <v>Yes</v>
      </c>
    </row>
    <row r="106" spans="1:14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  <c r="N106" s="11" t="str">
        <f>IF(Tabela1[[#This Row],[Coupon Value]]&gt;0,"Yes","No")</f>
        <v>Yes</v>
      </c>
    </row>
    <row r="107" spans="1:14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  <c r="N107" s="11" t="str">
        <f>IF(Tabela1[[#This Row],[Coupon Value]]&gt;0,"Yes","No")</f>
        <v>No</v>
      </c>
    </row>
    <row r="108" spans="1:14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  <c r="N108" s="11" t="str">
        <f>IF(Tabela1[[#This Row],[Coupon Value]]&gt;0,"Yes","No")</f>
        <v>Yes</v>
      </c>
    </row>
    <row r="109" spans="1:14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  <c r="N109" s="11" t="str">
        <f>IF(Tabela1[[#This Row],[Coupon Value]]&gt;0,"Yes","No")</f>
        <v>Yes</v>
      </c>
    </row>
    <row r="110" spans="1:14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  <c r="N110" s="11" t="str">
        <f>IF(Tabela1[[#This Row],[Coupon Value]]&gt;0,"Yes","No")</f>
        <v>Yes</v>
      </c>
    </row>
    <row r="111" spans="1:14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  <c r="N111" s="11" t="str">
        <f>IF(Tabela1[[#This Row],[Coupon Value]]&gt;0,"Yes","No")</f>
        <v>Yes</v>
      </c>
    </row>
    <row r="112" spans="1:14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  <c r="N112" s="11" t="str">
        <f>IF(Tabela1[[#This Row],[Coupon Value]]&gt;0,"Yes","No")</f>
        <v>Yes</v>
      </c>
    </row>
    <row r="113" spans="1:14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  <c r="N113" s="11" t="str">
        <f>IF(Tabela1[[#This Row],[Coupon Value]]&gt;0,"Yes","No")</f>
        <v>No</v>
      </c>
    </row>
    <row r="114" spans="1:14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  <c r="N114" s="11" t="str">
        <f>IF(Tabela1[[#This Row],[Coupon Value]]&gt;0,"Yes","No")</f>
        <v>Yes</v>
      </c>
    </row>
    <row r="115" spans="1:14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  <c r="N115" s="11" t="str">
        <f>IF(Tabela1[[#This Row],[Coupon Value]]&gt;0,"Yes","No")</f>
        <v>Yes</v>
      </c>
    </row>
    <row r="116" spans="1:14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  <c r="N116" s="11" t="str">
        <f>IF(Tabela1[[#This Row],[Coupon Value]]&gt;0,"Yes","No")</f>
        <v>Yes</v>
      </c>
    </row>
    <row r="117" spans="1:14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  <c r="N117" s="11" t="str">
        <f>IF(Tabela1[[#This Row],[Coupon Value]]&gt;0,"Yes","No")</f>
        <v>Yes</v>
      </c>
    </row>
    <row r="118" spans="1:14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  <c r="N118" s="11" t="str">
        <f>IF(Tabela1[[#This Row],[Coupon Value]]&gt;0,"Yes","No")</f>
        <v>Yes</v>
      </c>
    </row>
    <row r="119" spans="1:14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  <c r="N119" s="11" t="str">
        <f>IF(Tabela1[[#This Row],[Coupon Value]]&gt;0,"Yes","No")</f>
        <v>No</v>
      </c>
    </row>
    <row r="120" spans="1:14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  <c r="N120" s="11" t="str">
        <f>IF(Tabela1[[#This Row],[Coupon Value]]&gt;0,"Yes","No")</f>
        <v>Yes</v>
      </c>
    </row>
    <row r="121" spans="1:14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  <c r="N121" s="11" t="str">
        <f>IF(Tabela1[[#This Row],[Coupon Value]]&gt;0,"Yes","No")</f>
        <v>Yes</v>
      </c>
    </row>
    <row r="122" spans="1:14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  <c r="N122" s="11" t="str">
        <f>IF(Tabela1[[#This Row],[Coupon Value]]&gt;0,"Yes","No")</f>
        <v>Yes</v>
      </c>
    </row>
    <row r="123" spans="1:14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  <c r="N123" s="11" t="str">
        <f>IF(Tabela1[[#This Row],[Coupon Value]]&gt;0,"Yes","No")</f>
        <v>Yes</v>
      </c>
    </row>
    <row r="124" spans="1:14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  <c r="N124" s="11" t="str">
        <f>IF(Tabela1[[#This Row],[Coupon Value]]&gt;0,"Yes","No")</f>
        <v>Yes</v>
      </c>
    </row>
    <row r="125" spans="1:14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  <c r="N125" s="11" t="str">
        <f>IF(Tabela1[[#This Row],[Coupon Value]]&gt;0,"Yes","No")</f>
        <v>No</v>
      </c>
    </row>
    <row r="126" spans="1:14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  <c r="N126" s="11" t="str">
        <f>IF(Tabela1[[#This Row],[Coupon Value]]&gt;0,"Yes","No")</f>
        <v>Yes</v>
      </c>
    </row>
    <row r="127" spans="1:14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  <c r="N127" s="11" t="str">
        <f>IF(Tabela1[[#This Row],[Coupon Value]]&gt;0,"Yes","No")</f>
        <v>Yes</v>
      </c>
    </row>
    <row r="128" spans="1:14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  <c r="N128" s="11" t="str">
        <f>IF(Tabela1[[#This Row],[Coupon Value]]&gt;0,"Yes","No")</f>
        <v>Yes</v>
      </c>
    </row>
    <row r="129" spans="1:14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  <c r="N129" s="11" t="str">
        <f>IF(Tabela1[[#This Row],[Coupon Value]]&gt;0,"Yes","No")</f>
        <v>Yes</v>
      </c>
    </row>
    <row r="130" spans="1:14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  <c r="N130" s="11" t="str">
        <f>IF(Tabela1[[#This Row],[Coupon Value]]&gt;0,"Yes","No")</f>
        <v>Yes</v>
      </c>
    </row>
    <row r="131" spans="1:14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  <c r="N131" s="11" t="str">
        <f>IF(Tabela1[[#This Row],[Coupon Value]]&gt;0,"Yes","No")</f>
        <v>No</v>
      </c>
    </row>
    <row r="132" spans="1:14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  <c r="N132" s="11" t="str">
        <f>IF(Tabela1[[#This Row],[Coupon Value]]&gt;0,"Yes","No")</f>
        <v>Yes</v>
      </c>
    </row>
    <row r="133" spans="1:14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  <c r="N133" s="11" t="str">
        <f>IF(Tabela1[[#This Row],[Coupon Value]]&gt;0,"Yes","No")</f>
        <v>Yes</v>
      </c>
    </row>
    <row r="134" spans="1:14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  <c r="N134" s="11" t="str">
        <f>IF(Tabela1[[#This Row],[Coupon Value]]&gt;0,"Yes","No")</f>
        <v>Yes</v>
      </c>
    </row>
    <row r="135" spans="1:14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  <c r="N135" s="11" t="str">
        <f>IF(Tabela1[[#This Row],[Coupon Value]]&gt;0,"Yes","No")</f>
        <v>Yes</v>
      </c>
    </row>
    <row r="136" spans="1:14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  <c r="N136" s="11" t="str">
        <f>IF(Tabela1[[#This Row],[Coupon Value]]&gt;0,"Yes","No")</f>
        <v>Yes</v>
      </c>
    </row>
    <row r="137" spans="1:14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  <c r="N137" s="11" t="str">
        <f>IF(Tabela1[[#This Row],[Coupon Value]]&gt;0,"Yes","No")</f>
        <v>No</v>
      </c>
    </row>
    <row r="138" spans="1:14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  <c r="N138" s="11" t="str">
        <f>IF(Tabela1[[#This Row],[Coupon Value]]&gt;0,"Yes","No")</f>
        <v>Yes</v>
      </c>
    </row>
    <row r="139" spans="1:14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  <c r="N139" s="11" t="str">
        <f>IF(Tabela1[[#This Row],[Coupon Value]]&gt;0,"Yes","No")</f>
        <v>Yes</v>
      </c>
    </row>
    <row r="140" spans="1:14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  <c r="N140" s="11" t="str">
        <f>IF(Tabela1[[#This Row],[Coupon Value]]&gt;0,"Yes","No")</f>
        <v>Yes</v>
      </c>
    </row>
    <row r="141" spans="1:14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  <c r="N141" s="11" t="str">
        <f>IF(Tabela1[[#This Row],[Coupon Value]]&gt;0,"Yes","No")</f>
        <v>Yes</v>
      </c>
    </row>
    <row r="142" spans="1:14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  <c r="N142" s="11" t="str">
        <f>IF(Tabela1[[#This Row],[Coupon Value]]&gt;0,"Yes","No")</f>
        <v>Yes</v>
      </c>
    </row>
    <row r="143" spans="1:14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  <c r="N143" s="11" t="str">
        <f>IF(Tabela1[[#This Row],[Coupon Value]]&gt;0,"Yes","No")</f>
        <v>No</v>
      </c>
    </row>
    <row r="144" spans="1:14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  <c r="N144" s="11" t="str">
        <f>IF(Tabela1[[#This Row],[Coupon Value]]&gt;0,"Yes","No")</f>
        <v>Yes</v>
      </c>
    </row>
    <row r="145" spans="1:14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  <c r="N145" s="11" t="str">
        <f>IF(Tabela1[[#This Row],[Coupon Value]]&gt;0,"Yes","No")</f>
        <v>Yes</v>
      </c>
    </row>
    <row r="146" spans="1:14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  <c r="N146" s="11" t="str">
        <f>IF(Tabela1[[#This Row],[Coupon Value]]&gt;0,"Yes","No")</f>
        <v>Yes</v>
      </c>
    </row>
    <row r="147" spans="1:14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  <c r="N147" s="11" t="str">
        <f>IF(Tabela1[[#This Row],[Coupon Value]]&gt;0,"Yes","No")</f>
        <v>Yes</v>
      </c>
    </row>
    <row r="148" spans="1:14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  <c r="N148" s="11" t="str">
        <f>IF(Tabela1[[#This Row],[Coupon Value]]&gt;0,"Yes","No")</f>
        <v>Yes</v>
      </c>
    </row>
    <row r="149" spans="1:14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  <c r="N149" s="11" t="str">
        <f>IF(Tabela1[[#This Row],[Coupon Value]]&gt;0,"Yes","No")</f>
        <v>No</v>
      </c>
    </row>
    <row r="150" spans="1:14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  <c r="N150" s="11" t="str">
        <f>IF(Tabela1[[#This Row],[Coupon Value]]&gt;0,"Yes","No")</f>
        <v>Yes</v>
      </c>
    </row>
    <row r="151" spans="1:14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  <c r="N151" s="11" t="str">
        <f>IF(Tabela1[[#This Row],[Coupon Value]]&gt;0,"Yes","No")</f>
        <v>Yes</v>
      </c>
    </row>
    <row r="152" spans="1:14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  <c r="N152" s="11" t="str">
        <f>IF(Tabela1[[#This Row],[Coupon Value]]&gt;0,"Yes","No")</f>
        <v>Yes</v>
      </c>
    </row>
    <row r="153" spans="1:14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  <c r="N153" s="11" t="str">
        <f>IF(Tabela1[[#This Row],[Coupon Value]]&gt;0,"Yes","No")</f>
        <v>Yes</v>
      </c>
    </row>
    <row r="154" spans="1:14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  <c r="N154" s="11" t="str">
        <f>IF(Tabela1[[#This Row],[Coupon Value]]&gt;0,"Yes","No")</f>
        <v>Yes</v>
      </c>
    </row>
    <row r="155" spans="1:14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  <c r="N155" s="11" t="str">
        <f>IF(Tabela1[[#This Row],[Coupon Value]]&gt;0,"Yes","No")</f>
        <v>No</v>
      </c>
    </row>
    <row r="156" spans="1:14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  <c r="N156" s="11" t="str">
        <f>IF(Tabela1[[#This Row],[Coupon Value]]&gt;0,"Yes","No")</f>
        <v>Yes</v>
      </c>
    </row>
    <row r="157" spans="1:14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  <c r="N157" s="11" t="str">
        <f>IF(Tabela1[[#This Row],[Coupon Value]]&gt;0,"Yes","No")</f>
        <v>Yes</v>
      </c>
    </row>
    <row r="158" spans="1:14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  <c r="N158" s="11" t="str">
        <f>IF(Tabela1[[#This Row],[Coupon Value]]&gt;0,"Yes","No")</f>
        <v>Yes</v>
      </c>
    </row>
    <row r="159" spans="1:14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  <c r="N159" s="11" t="str">
        <f>IF(Tabela1[[#This Row],[Coupon Value]]&gt;0,"Yes","No")</f>
        <v>Yes</v>
      </c>
    </row>
    <row r="160" spans="1:14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  <c r="N160" s="11" t="str">
        <f>IF(Tabela1[[#This Row],[Coupon Value]]&gt;0,"Yes","No")</f>
        <v>Yes</v>
      </c>
    </row>
    <row r="161" spans="1:14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  <c r="N161" s="11" t="str">
        <f>IF(Tabela1[[#This Row],[Coupon Value]]&gt;0,"Yes","No")</f>
        <v>No</v>
      </c>
    </row>
    <row r="162" spans="1:14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  <c r="N162" s="11" t="str">
        <f>IF(Tabela1[[#This Row],[Coupon Value]]&gt;0,"Yes","No")</f>
        <v>Yes</v>
      </c>
    </row>
    <row r="163" spans="1:14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  <c r="N163" s="11" t="str">
        <f>IF(Tabela1[[#This Row],[Coupon Value]]&gt;0,"Yes","No")</f>
        <v>Yes</v>
      </c>
    </row>
    <row r="164" spans="1:14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  <c r="N164" s="11" t="str">
        <f>IF(Tabela1[[#This Row],[Coupon Value]]&gt;0,"Yes","No")</f>
        <v>Yes</v>
      </c>
    </row>
    <row r="165" spans="1:14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  <c r="N165" s="11" t="str">
        <f>IF(Tabela1[[#This Row],[Coupon Value]]&gt;0,"Yes","No")</f>
        <v>Yes</v>
      </c>
    </row>
    <row r="166" spans="1:14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  <c r="N166" s="11" t="str">
        <f>IF(Tabela1[[#This Row],[Coupon Value]]&gt;0,"Yes","No")</f>
        <v>Yes</v>
      </c>
    </row>
    <row r="167" spans="1:14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  <c r="N167" s="11" t="str">
        <f>IF(Tabela1[[#This Row],[Coupon Value]]&gt;0,"Yes","No")</f>
        <v>No</v>
      </c>
    </row>
    <row r="168" spans="1:14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  <c r="N168" s="11" t="str">
        <f>IF(Tabela1[[#This Row],[Coupon Value]]&gt;0,"Yes","No")</f>
        <v>Yes</v>
      </c>
    </row>
    <row r="169" spans="1:14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  <c r="N169" s="11" t="str">
        <f>IF(Tabela1[[#This Row],[Coupon Value]]&gt;0,"Yes","No")</f>
        <v>Yes</v>
      </c>
    </row>
    <row r="170" spans="1:14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  <c r="N170" s="11" t="str">
        <f>IF(Tabela1[[#This Row],[Coupon Value]]&gt;0,"Yes","No")</f>
        <v>Yes</v>
      </c>
    </row>
    <row r="171" spans="1:14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  <c r="N171" s="11" t="str">
        <f>IF(Tabela1[[#This Row],[Coupon Value]]&gt;0,"Yes","No")</f>
        <v>Yes</v>
      </c>
    </row>
    <row r="172" spans="1:14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  <c r="N172" s="11" t="str">
        <f>IF(Tabela1[[#This Row],[Coupon Value]]&gt;0,"Yes","No")</f>
        <v>Yes</v>
      </c>
    </row>
    <row r="173" spans="1:14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  <c r="N173" s="11" t="str">
        <f>IF(Tabela1[[#This Row],[Coupon Value]]&gt;0,"Yes","No")</f>
        <v>No</v>
      </c>
    </row>
    <row r="174" spans="1:14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  <c r="N174" s="11" t="str">
        <f>IF(Tabela1[[#This Row],[Coupon Value]]&gt;0,"Yes","No")</f>
        <v>Yes</v>
      </c>
    </row>
    <row r="175" spans="1:14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  <c r="N175" s="11" t="str">
        <f>IF(Tabela1[[#This Row],[Coupon Value]]&gt;0,"Yes","No")</f>
        <v>Yes</v>
      </c>
    </row>
    <row r="176" spans="1:14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  <c r="N176" s="11" t="str">
        <f>IF(Tabela1[[#This Row],[Coupon Value]]&gt;0,"Yes","No")</f>
        <v>Yes</v>
      </c>
    </row>
    <row r="177" spans="1:14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  <c r="N177" s="11" t="str">
        <f>IF(Tabela1[[#This Row],[Coupon Value]]&gt;0,"Yes","No")</f>
        <v>No</v>
      </c>
    </row>
    <row r="178" spans="1:14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  <c r="N178" s="11" t="str">
        <f>IF(Tabela1[[#This Row],[Coupon Value]]&gt;0,"Yes","No")</f>
        <v>Yes</v>
      </c>
    </row>
    <row r="179" spans="1:14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  <c r="N179" s="11" t="str">
        <f>IF(Tabela1[[#This Row],[Coupon Value]]&gt;0,"Yes","No")</f>
        <v>Yes</v>
      </c>
    </row>
    <row r="180" spans="1:14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  <c r="N180" s="11" t="str">
        <f>IF(Tabela1[[#This Row],[Coupon Value]]&gt;0,"Yes","No")</f>
        <v>Yes</v>
      </c>
    </row>
    <row r="181" spans="1:14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  <c r="N181" s="11" t="str">
        <f>IF(Tabela1[[#This Row],[Coupon Value]]&gt;0,"Yes","No")</f>
        <v>Yes</v>
      </c>
    </row>
    <row r="182" spans="1:14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  <c r="N182" s="11" t="str">
        <f>IF(Tabela1[[#This Row],[Coupon Value]]&gt;0,"Yes","No")</f>
        <v>Yes</v>
      </c>
    </row>
    <row r="183" spans="1:14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  <c r="N183" s="11" t="str">
        <f>IF(Tabela1[[#This Row],[Coupon Value]]&gt;0,"Yes","No")</f>
        <v>No</v>
      </c>
    </row>
    <row r="184" spans="1:14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  <c r="N184" s="11" t="str">
        <f>IF(Tabela1[[#This Row],[Coupon Value]]&gt;0,"Yes","No")</f>
        <v>Yes</v>
      </c>
    </row>
    <row r="185" spans="1:14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  <c r="N185" s="11" t="str">
        <f>IF(Tabela1[[#This Row],[Coupon Value]]&gt;0,"Yes","No")</f>
        <v>Yes</v>
      </c>
    </row>
    <row r="186" spans="1:14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  <c r="N186" s="11" t="str">
        <f>IF(Tabela1[[#This Row],[Coupon Value]]&gt;0,"Yes","No")</f>
        <v>Yes</v>
      </c>
    </row>
    <row r="187" spans="1:14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  <c r="N187" s="11" t="str">
        <f>IF(Tabela1[[#This Row],[Coupon Value]]&gt;0,"Yes","No")</f>
        <v>Yes</v>
      </c>
    </row>
    <row r="188" spans="1:14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  <c r="N188" s="11" t="str">
        <f>IF(Tabela1[[#This Row],[Coupon Value]]&gt;0,"Yes","No")</f>
        <v>Yes</v>
      </c>
    </row>
    <row r="189" spans="1:14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  <c r="N189" s="11" t="str">
        <f>IF(Tabela1[[#This Row],[Coupon Value]]&gt;0,"Yes","No")</f>
        <v>No</v>
      </c>
    </row>
    <row r="190" spans="1:14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  <c r="N190" s="11" t="str">
        <f>IF(Tabela1[[#This Row],[Coupon Value]]&gt;0,"Yes","No")</f>
        <v>Yes</v>
      </c>
    </row>
    <row r="191" spans="1:14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  <c r="N191" s="11" t="str">
        <f>IF(Tabela1[[#This Row],[Coupon Value]]&gt;0,"Yes","No")</f>
        <v>Yes</v>
      </c>
    </row>
    <row r="192" spans="1:14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  <c r="N192" s="11" t="str">
        <f>IF(Tabela1[[#This Row],[Coupon Value]]&gt;0,"Yes","No")</f>
        <v>Yes</v>
      </c>
    </row>
    <row r="193" spans="1:14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  <c r="N193" s="11" t="str">
        <f>IF(Tabela1[[#This Row],[Coupon Value]]&gt;0,"Yes","No")</f>
        <v>Yes</v>
      </c>
    </row>
    <row r="194" spans="1:14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  <c r="N194" s="11" t="str">
        <f>IF(Tabela1[[#This Row],[Coupon Value]]&gt;0,"Yes","No")</f>
        <v>Yes</v>
      </c>
    </row>
    <row r="195" spans="1:14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  <c r="N195" s="11" t="str">
        <f>IF(Tabela1[[#This Row],[Coupon Value]]&gt;0,"Yes","No")</f>
        <v>No</v>
      </c>
    </row>
    <row r="196" spans="1:14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  <c r="N196" s="11" t="str">
        <f>IF(Tabela1[[#This Row],[Coupon Value]]&gt;0,"Yes","No")</f>
        <v>Yes</v>
      </c>
    </row>
    <row r="197" spans="1:14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  <c r="N197" s="11" t="str">
        <f>IF(Tabela1[[#This Row],[Coupon Value]]&gt;0,"Yes","No")</f>
        <v>Yes</v>
      </c>
    </row>
    <row r="198" spans="1:14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  <c r="N198" s="11" t="str">
        <f>IF(Tabela1[[#This Row],[Coupon Value]]&gt;0,"Yes","No")</f>
        <v>Yes</v>
      </c>
    </row>
    <row r="199" spans="1:14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  <c r="N199" s="11" t="str">
        <f>IF(Tabela1[[#This Row],[Coupon Value]]&gt;0,"Yes","No")</f>
        <v>Yes</v>
      </c>
    </row>
    <row r="200" spans="1:14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  <c r="N200" s="11" t="str">
        <f>IF(Tabela1[[#This Row],[Coupon Value]]&gt;0,"Yes","No")</f>
        <v>Yes</v>
      </c>
    </row>
    <row r="201" spans="1:14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  <c r="N201" s="11" t="str">
        <f>IF(Tabela1[[#This Row],[Coupon Value]]&gt;0,"Yes","No")</f>
        <v>No</v>
      </c>
    </row>
    <row r="202" spans="1:14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  <c r="N202" s="11" t="str">
        <f>IF(Tabela1[[#This Row],[Coupon Value]]&gt;0,"Yes","No")</f>
        <v>Yes</v>
      </c>
    </row>
    <row r="203" spans="1:14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  <c r="N203" s="11" t="str">
        <f>IF(Tabela1[[#This Row],[Coupon Value]]&gt;0,"Yes","No")</f>
        <v>Yes</v>
      </c>
    </row>
    <row r="204" spans="1:14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  <c r="N204" s="11" t="str">
        <f>IF(Tabela1[[#This Row],[Coupon Value]]&gt;0,"Yes","No")</f>
        <v>Yes</v>
      </c>
    </row>
    <row r="205" spans="1:14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  <c r="N205" s="11" t="str">
        <f>IF(Tabela1[[#This Row],[Coupon Value]]&gt;0,"Yes","No")</f>
        <v>Yes</v>
      </c>
    </row>
    <row r="206" spans="1:14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  <c r="N206" s="11" t="str">
        <f>IF(Tabela1[[#This Row],[Coupon Value]]&gt;0,"Yes","No")</f>
        <v>Yes</v>
      </c>
    </row>
    <row r="207" spans="1:14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  <c r="N207" s="11" t="str">
        <f>IF(Tabela1[[#This Row],[Coupon Value]]&gt;0,"Yes","No")</f>
        <v>No</v>
      </c>
    </row>
    <row r="208" spans="1:14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  <c r="N208" s="11" t="str">
        <f>IF(Tabela1[[#This Row],[Coupon Value]]&gt;0,"Yes","No")</f>
        <v>Yes</v>
      </c>
    </row>
    <row r="209" spans="1:14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  <c r="N209" s="11" t="str">
        <f>IF(Tabela1[[#This Row],[Coupon Value]]&gt;0,"Yes","No")</f>
        <v>Yes</v>
      </c>
    </row>
    <row r="210" spans="1:14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  <c r="N210" s="11" t="str">
        <f>IF(Tabela1[[#This Row],[Coupon Value]]&gt;0,"Yes","No")</f>
        <v>Yes</v>
      </c>
    </row>
    <row r="211" spans="1:14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  <c r="N211" s="11" t="str">
        <f>IF(Tabela1[[#This Row],[Coupon Value]]&gt;0,"Yes","No")</f>
        <v>Yes</v>
      </c>
    </row>
    <row r="212" spans="1:14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  <c r="N212" s="11" t="str">
        <f>IF(Tabela1[[#This Row],[Coupon Value]]&gt;0,"Yes","No")</f>
        <v>Yes</v>
      </c>
    </row>
    <row r="213" spans="1:14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  <c r="N213" s="11" t="str">
        <f>IF(Tabela1[[#This Row],[Coupon Value]]&gt;0,"Yes","No")</f>
        <v>No</v>
      </c>
    </row>
    <row r="214" spans="1:14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  <c r="N214" s="11" t="str">
        <f>IF(Tabela1[[#This Row],[Coupon Value]]&gt;0,"Yes","No")</f>
        <v>Yes</v>
      </c>
    </row>
    <row r="215" spans="1:14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  <c r="N215" s="11" t="str">
        <f>IF(Tabela1[[#This Row],[Coupon Value]]&gt;0,"Yes","No")</f>
        <v>Yes</v>
      </c>
    </row>
    <row r="216" spans="1:14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  <c r="N216" s="11" t="str">
        <f>IF(Tabela1[[#This Row],[Coupon Value]]&gt;0,"Yes","No")</f>
        <v>Yes</v>
      </c>
    </row>
    <row r="217" spans="1:14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  <c r="N217" s="11" t="str">
        <f>IF(Tabela1[[#This Row],[Coupon Value]]&gt;0,"Yes","No")</f>
        <v>Yes</v>
      </c>
    </row>
    <row r="218" spans="1:14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  <c r="N218" s="11" t="str">
        <f>IF(Tabela1[[#This Row],[Coupon Value]]&gt;0,"Yes","No")</f>
        <v>Yes</v>
      </c>
    </row>
    <row r="219" spans="1:14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  <c r="N219" s="11" t="str">
        <f>IF(Tabela1[[#This Row],[Coupon Value]]&gt;0,"Yes","No")</f>
        <v>No</v>
      </c>
    </row>
    <row r="220" spans="1:14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  <c r="N220" s="11" t="str">
        <f>IF(Tabela1[[#This Row],[Coupon Value]]&gt;0,"Yes","No")</f>
        <v>Yes</v>
      </c>
    </row>
    <row r="221" spans="1:14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  <c r="N221" s="11" t="str">
        <f>IF(Tabela1[[#This Row],[Coupon Value]]&gt;0,"Yes","No")</f>
        <v>Yes</v>
      </c>
    </row>
    <row r="222" spans="1:14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  <c r="N222" s="11" t="str">
        <f>IF(Tabela1[[#This Row],[Coupon Value]]&gt;0,"Yes","No")</f>
        <v>Yes</v>
      </c>
    </row>
    <row r="223" spans="1:14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  <c r="N223" s="11" t="str">
        <f>IF(Tabela1[[#This Row],[Coupon Value]]&gt;0,"Yes","No")</f>
        <v>Yes</v>
      </c>
    </row>
    <row r="224" spans="1:14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  <c r="N224" s="11" t="str">
        <f>IF(Tabela1[[#This Row],[Coupon Value]]&gt;0,"Yes","No")</f>
        <v>Yes</v>
      </c>
    </row>
    <row r="225" spans="1:14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  <c r="N225" s="11" t="str">
        <f>IF(Tabela1[[#This Row],[Coupon Value]]&gt;0,"Yes","No")</f>
        <v>No</v>
      </c>
    </row>
    <row r="226" spans="1:14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  <c r="N226" s="11" t="str">
        <f>IF(Tabela1[[#This Row],[Coupon Value]]&gt;0,"Yes","No")</f>
        <v>Yes</v>
      </c>
    </row>
    <row r="227" spans="1:14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  <c r="N227" s="11" t="str">
        <f>IF(Tabela1[[#This Row],[Coupon Value]]&gt;0,"Yes","No")</f>
        <v>Yes</v>
      </c>
    </row>
    <row r="228" spans="1:14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  <c r="N228" s="11" t="str">
        <f>IF(Tabela1[[#This Row],[Coupon Value]]&gt;0,"Yes","No")</f>
        <v>Yes</v>
      </c>
    </row>
    <row r="229" spans="1:14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  <c r="N229" s="11" t="str">
        <f>IF(Tabela1[[#This Row],[Coupon Value]]&gt;0,"Yes","No")</f>
        <v>Yes</v>
      </c>
    </row>
    <row r="230" spans="1:14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  <c r="N230" s="11" t="str">
        <f>IF(Tabela1[[#This Row],[Coupon Value]]&gt;0,"Yes","No")</f>
        <v>Yes</v>
      </c>
    </row>
    <row r="231" spans="1:14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  <c r="N231" s="11" t="str">
        <f>IF(Tabela1[[#This Row],[Coupon Value]]&gt;0,"Yes","No")</f>
        <v>No</v>
      </c>
    </row>
    <row r="232" spans="1:14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  <c r="N232" s="11" t="str">
        <f>IF(Tabela1[[#This Row],[Coupon Value]]&gt;0,"Yes","No")</f>
        <v>Yes</v>
      </c>
    </row>
    <row r="233" spans="1:14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  <c r="N233" s="11" t="str">
        <f>IF(Tabela1[[#This Row],[Coupon Value]]&gt;0,"Yes","No")</f>
        <v>Yes</v>
      </c>
    </row>
    <row r="234" spans="1:14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  <c r="N234" s="11" t="str">
        <f>IF(Tabela1[[#This Row],[Coupon Value]]&gt;0,"Yes","No")</f>
        <v>Yes</v>
      </c>
    </row>
    <row r="235" spans="1:14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  <c r="N235" s="11" t="str">
        <f>IF(Tabela1[[#This Row],[Coupon Value]]&gt;0,"Yes","No")</f>
        <v>Yes</v>
      </c>
    </row>
    <row r="236" spans="1:14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  <c r="N236" s="11" t="str">
        <f>IF(Tabela1[[#This Row],[Coupon Value]]&gt;0,"Yes","No")</f>
        <v>Yes</v>
      </c>
    </row>
    <row r="237" spans="1:14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  <c r="N237" s="11" t="str">
        <f>IF(Tabela1[[#This Row],[Coupon Value]]&gt;0,"Yes","No")</f>
        <v>No</v>
      </c>
    </row>
    <row r="238" spans="1:14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  <c r="N238" s="11" t="str">
        <f>IF(Tabela1[[#This Row],[Coupon Value]]&gt;0,"Yes","No")</f>
        <v>Yes</v>
      </c>
    </row>
    <row r="239" spans="1:14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  <c r="N239" s="11" t="str">
        <f>IF(Tabela1[[#This Row],[Coupon Value]]&gt;0,"Yes","No")</f>
        <v>Yes</v>
      </c>
    </row>
    <row r="240" spans="1:14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  <c r="N240" s="11" t="str">
        <f>IF(Tabela1[[#This Row],[Coupon Value]]&gt;0,"Yes","No")</f>
        <v>Yes</v>
      </c>
    </row>
    <row r="241" spans="1:14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  <c r="N241" s="11" t="str">
        <f>IF(Tabela1[[#This Row],[Coupon Value]]&gt;0,"Yes","No")</f>
        <v>Yes</v>
      </c>
    </row>
    <row r="242" spans="1:14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  <c r="N242" s="11" t="str">
        <f>IF(Tabela1[[#This Row],[Coupon Value]]&gt;0,"Yes","No")</f>
        <v>Yes</v>
      </c>
    </row>
    <row r="243" spans="1:14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  <c r="N243" s="11" t="str">
        <f>IF(Tabela1[[#This Row],[Coupon Value]]&gt;0,"Yes","No")</f>
        <v>No</v>
      </c>
    </row>
    <row r="244" spans="1:14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  <c r="N244" s="11" t="str">
        <f>IF(Tabela1[[#This Row],[Coupon Value]]&gt;0,"Yes","No")</f>
        <v>Yes</v>
      </c>
    </row>
    <row r="245" spans="1:14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  <c r="N245" s="11" t="str">
        <f>IF(Tabela1[[#This Row],[Coupon Value]]&gt;0,"Yes","No")</f>
        <v>Yes</v>
      </c>
    </row>
    <row r="246" spans="1:14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  <c r="N246" s="11" t="str">
        <f>IF(Tabela1[[#This Row],[Coupon Value]]&gt;0,"Yes","No")</f>
        <v>Yes</v>
      </c>
    </row>
    <row r="247" spans="1:14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  <c r="N247" s="11" t="str">
        <f>IF(Tabela1[[#This Row],[Coupon Value]]&gt;0,"Yes","No")</f>
        <v>Yes</v>
      </c>
    </row>
    <row r="248" spans="1:14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  <c r="N248" s="11" t="str">
        <f>IF(Tabela1[[#This Row],[Coupon Value]]&gt;0,"Yes","No")</f>
        <v>Yes</v>
      </c>
    </row>
    <row r="249" spans="1:14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  <c r="N249" s="11" t="str">
        <f>IF(Tabela1[[#This Row],[Coupon Value]]&gt;0,"Yes","No")</f>
        <v>No</v>
      </c>
    </row>
    <row r="250" spans="1:14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  <c r="N250" s="11" t="str">
        <f>IF(Tabela1[[#This Row],[Coupon Value]]&gt;0,"Yes","No")</f>
        <v>Yes</v>
      </c>
    </row>
    <row r="251" spans="1:14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  <c r="N251" s="11" t="str">
        <f>IF(Tabela1[[#This Row],[Coupon Value]]&gt;0,"Yes","No")</f>
        <v>Yes</v>
      </c>
    </row>
    <row r="252" spans="1:14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  <c r="N252" s="11" t="str">
        <f>IF(Tabela1[[#This Row],[Coupon Value]]&gt;0,"Yes","No")</f>
        <v>Yes</v>
      </c>
    </row>
    <row r="253" spans="1:14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  <c r="N253" s="11" t="str">
        <f>IF(Tabela1[[#This Row],[Coupon Value]]&gt;0,"Yes","No")</f>
        <v>Yes</v>
      </c>
    </row>
    <row r="254" spans="1:14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  <c r="N254" s="11" t="str">
        <f>IF(Tabela1[[#This Row],[Coupon Value]]&gt;0,"Yes","No")</f>
        <v>Yes</v>
      </c>
    </row>
    <row r="255" spans="1:14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  <c r="N255" s="11" t="str">
        <f>IF(Tabela1[[#This Row],[Coupon Value]]&gt;0,"Yes","No")</f>
        <v>No</v>
      </c>
    </row>
    <row r="256" spans="1:14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  <c r="N256" s="11" t="str">
        <f>IF(Tabela1[[#This Row],[Coupon Value]]&gt;0,"Yes","No")</f>
        <v>Yes</v>
      </c>
    </row>
    <row r="257" spans="1:14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  <c r="N257" s="11" t="str">
        <f>IF(Tabela1[[#This Row],[Coupon Value]]&gt;0,"Yes","No")</f>
        <v>No</v>
      </c>
    </row>
    <row r="258" spans="1:14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  <c r="N258" s="11" t="str">
        <f>IF(Tabela1[[#This Row],[Coupon Value]]&gt;0,"Yes","No")</f>
        <v>Yes</v>
      </c>
    </row>
    <row r="259" spans="1:14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  <c r="N259" s="11" t="str">
        <f>IF(Tabela1[[#This Row],[Coupon Value]]&gt;0,"Yes","No")</f>
        <v>Yes</v>
      </c>
    </row>
    <row r="260" spans="1:14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  <c r="N260" s="11" t="str">
        <f>IF(Tabela1[[#This Row],[Coupon Value]]&gt;0,"Yes","No")</f>
        <v>Yes</v>
      </c>
    </row>
    <row r="261" spans="1:14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  <c r="N261" s="11" t="str">
        <f>IF(Tabela1[[#This Row],[Coupon Value]]&gt;0,"Yes","No")</f>
        <v>Yes</v>
      </c>
    </row>
    <row r="262" spans="1:14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  <c r="N262" s="11" t="str">
        <f>IF(Tabela1[[#This Row],[Coupon Value]]&gt;0,"Yes","No")</f>
        <v>Yes</v>
      </c>
    </row>
    <row r="263" spans="1:14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  <c r="N263" s="11" t="str">
        <f>IF(Tabela1[[#This Row],[Coupon Value]]&gt;0,"Yes","No")</f>
        <v>No</v>
      </c>
    </row>
    <row r="264" spans="1:14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  <c r="N264" s="11" t="str">
        <f>IF(Tabela1[[#This Row],[Coupon Value]]&gt;0,"Yes","No")</f>
        <v>Yes</v>
      </c>
    </row>
    <row r="265" spans="1:14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  <c r="N265" s="11" t="str">
        <f>IF(Tabela1[[#This Row],[Coupon Value]]&gt;0,"Yes","No")</f>
        <v>Yes</v>
      </c>
    </row>
    <row r="266" spans="1:14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  <c r="N266" s="11" t="str">
        <f>IF(Tabela1[[#This Row],[Coupon Value]]&gt;0,"Yes","No")</f>
        <v>Yes</v>
      </c>
    </row>
    <row r="267" spans="1:14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  <c r="N267" s="11" t="str">
        <f>IF(Tabela1[[#This Row],[Coupon Value]]&gt;0,"Yes","No")</f>
        <v>Yes</v>
      </c>
    </row>
    <row r="268" spans="1:14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  <c r="N268" s="11" t="str">
        <f>IF(Tabela1[[#This Row],[Coupon Value]]&gt;0,"Yes","No")</f>
        <v>Yes</v>
      </c>
    </row>
    <row r="269" spans="1:14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  <c r="N269" s="11" t="str">
        <f>IF(Tabela1[[#This Row],[Coupon Value]]&gt;0,"Yes","No")</f>
        <v>No</v>
      </c>
    </row>
    <row r="270" spans="1:14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  <c r="N270" s="11" t="str">
        <f>IF(Tabela1[[#This Row],[Coupon Value]]&gt;0,"Yes","No")</f>
        <v>Yes</v>
      </c>
    </row>
    <row r="271" spans="1:14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  <c r="N271" s="11" t="str">
        <f>IF(Tabela1[[#This Row],[Coupon Value]]&gt;0,"Yes","No")</f>
        <v>Yes</v>
      </c>
    </row>
    <row r="272" spans="1:14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  <c r="N272" s="11" t="str">
        <f>IF(Tabela1[[#This Row],[Coupon Value]]&gt;0,"Yes","No")</f>
        <v>Yes</v>
      </c>
    </row>
    <row r="273" spans="1:14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  <c r="N273" s="11" t="str">
        <f>IF(Tabela1[[#This Row],[Coupon Value]]&gt;0,"Yes","No")</f>
        <v>Yes</v>
      </c>
    </row>
    <row r="274" spans="1:14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  <c r="N274" s="11" t="str">
        <f>IF(Tabela1[[#This Row],[Coupon Value]]&gt;0,"Yes","No")</f>
        <v>Yes</v>
      </c>
    </row>
    <row r="275" spans="1:14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  <c r="N275" s="11" t="str">
        <f>IF(Tabela1[[#This Row],[Coupon Value]]&gt;0,"Yes","No")</f>
        <v>No</v>
      </c>
    </row>
    <row r="276" spans="1:14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  <c r="N276" s="11" t="str">
        <f>IF(Tabela1[[#This Row],[Coupon Value]]&gt;0,"Yes","No")</f>
        <v>Yes</v>
      </c>
    </row>
    <row r="277" spans="1:14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  <c r="N277" s="11" t="str">
        <f>IF(Tabela1[[#This Row],[Coupon Value]]&gt;0,"Yes","No")</f>
        <v>Yes</v>
      </c>
    </row>
    <row r="278" spans="1:14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  <c r="N278" s="11" t="str">
        <f>IF(Tabela1[[#This Row],[Coupon Value]]&gt;0,"Yes","No")</f>
        <v>Yes</v>
      </c>
    </row>
    <row r="279" spans="1:14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  <c r="N279" s="11" t="str">
        <f>IF(Tabela1[[#This Row],[Coupon Value]]&gt;0,"Yes","No")</f>
        <v>Yes</v>
      </c>
    </row>
    <row r="280" spans="1:14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  <c r="N280" s="11" t="str">
        <f>IF(Tabela1[[#This Row],[Coupon Value]]&gt;0,"Yes","No")</f>
        <v>Yes</v>
      </c>
    </row>
    <row r="281" spans="1:14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  <c r="N281" s="11" t="str">
        <f>IF(Tabela1[[#This Row],[Coupon Value]]&gt;0,"Yes","No")</f>
        <v>No</v>
      </c>
    </row>
    <row r="282" spans="1:14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  <c r="N282" s="11" t="str">
        <f>IF(Tabela1[[#This Row],[Coupon Value]]&gt;0,"Yes","No")</f>
        <v>Yes</v>
      </c>
    </row>
    <row r="283" spans="1:14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  <c r="N283" s="11" t="str">
        <f>IF(Tabela1[[#This Row],[Coupon Value]]&gt;0,"Yes","No")</f>
        <v>Yes</v>
      </c>
    </row>
    <row r="284" spans="1:14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  <c r="N284" s="11" t="str">
        <f>IF(Tabela1[[#This Row],[Coupon Value]]&gt;0,"Yes","No")</f>
        <v>Yes</v>
      </c>
    </row>
    <row r="285" spans="1:14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  <c r="N285" s="11" t="str">
        <f>IF(Tabela1[[#This Row],[Coupon Value]]&gt;0,"Yes","No")</f>
        <v>Yes</v>
      </c>
    </row>
    <row r="286" spans="1:14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  <c r="N286" s="11" t="str">
        <f>IF(Tabela1[[#This Row],[Coupon Value]]&gt;0,"Yes","No")</f>
        <v>Yes</v>
      </c>
    </row>
    <row r="287" spans="1:14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  <c r="N287" s="11" t="str">
        <f>IF(Tabela1[[#This Row],[Coupon Value]]&gt;0,"Yes","No")</f>
        <v>No</v>
      </c>
    </row>
    <row r="288" spans="1:14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  <c r="N288" s="11" t="str">
        <f>IF(Tabela1[[#This Row],[Coupon Value]]&gt;0,"Yes","No")</f>
        <v>Yes</v>
      </c>
    </row>
    <row r="289" spans="1:14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  <c r="N289" s="11" t="str">
        <f>IF(Tabela1[[#This Row],[Coupon Value]]&gt;0,"Yes","No")</f>
        <v>Yes</v>
      </c>
    </row>
    <row r="290" spans="1:14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  <c r="N290" s="11" t="str">
        <f>IF(Tabela1[[#This Row],[Coupon Value]]&gt;0,"Yes","No")</f>
        <v>Yes</v>
      </c>
    </row>
    <row r="291" spans="1:14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  <c r="N291" s="11" t="str">
        <f>IF(Tabela1[[#This Row],[Coupon Value]]&gt;0,"Yes","No")</f>
        <v>Yes</v>
      </c>
    </row>
    <row r="292" spans="1:14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  <c r="N292" s="11" t="str">
        <f>IF(Tabela1[[#This Row],[Coupon Value]]&gt;0,"Yes","No")</f>
        <v>Yes</v>
      </c>
    </row>
    <row r="293" spans="1:14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  <c r="N293" s="11" t="str">
        <f>IF(Tabela1[[#This Row],[Coupon Value]]&gt;0,"Yes","No")</f>
        <v>No</v>
      </c>
    </row>
    <row r="294" spans="1:14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  <c r="N294" s="11" t="str">
        <f>IF(Tabela1[[#This Row],[Coupon Value]]&gt;0,"Yes","No")</f>
        <v>Yes</v>
      </c>
    </row>
    <row r="295" spans="1:14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  <c r="N295" s="11" t="str">
        <f>IF(Tabela1[[#This Row],[Coupon Value]]&gt;0,"Yes","No")</f>
        <v>Yes</v>
      </c>
    </row>
    <row r="296" spans="1:14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  <c r="N296" s="11" t="str">
        <f>IF(Tabela1[[#This Row],[Coupon Value]]&gt;0,"Yes","No")</f>
        <v>Yes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F108"/>
  <sheetViews>
    <sheetView showGridLines="0" topLeftCell="A73" workbookViewId="0">
      <selection activeCell="C108" sqref="C108"/>
    </sheetView>
  </sheetViews>
  <sheetFormatPr defaultRowHeight="14.25"/>
  <cols>
    <col min="2" max="2" width="18" bestFit="1" customWidth="1"/>
    <col min="3" max="3" width="19.125" bestFit="1" customWidth="1"/>
    <col min="4" max="4" width="12" bestFit="1" customWidth="1"/>
    <col min="5" max="5" width="18" bestFit="1" customWidth="1"/>
    <col min="6" max="6" width="19.125" bestFit="1" customWidth="1"/>
    <col min="7" max="8" width="12" bestFit="1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2:3">
      <c r="B3" t="s">
        <v>321</v>
      </c>
    </row>
    <row r="6" spans="2:3">
      <c r="B6" t="s">
        <v>314</v>
      </c>
    </row>
    <row r="7" spans="2:3">
      <c r="B7" t="s">
        <v>313</v>
      </c>
    </row>
    <row r="10" spans="2:3" ht="15">
      <c r="B10" t="s">
        <v>315</v>
      </c>
    </row>
    <row r="11" spans="2:3" ht="15">
      <c r="B11" t="s">
        <v>320</v>
      </c>
    </row>
    <row r="13" spans="2:3">
      <c r="B13" s="12" t="s">
        <v>16</v>
      </c>
      <c r="C13" t="s">
        <v>316</v>
      </c>
    </row>
    <row r="15" spans="2:3">
      <c r="B15" s="12" t="s">
        <v>317</v>
      </c>
      <c r="C15" t="s">
        <v>319</v>
      </c>
    </row>
    <row r="16" spans="2:3">
      <c r="B16" s="13" t="s">
        <v>23</v>
      </c>
      <c r="C16" s="15">
        <v>3847</v>
      </c>
    </row>
    <row r="17" spans="2:5">
      <c r="B17" s="13" t="s">
        <v>19</v>
      </c>
      <c r="C17" s="15">
        <v>3786</v>
      </c>
    </row>
    <row r="18" spans="2:5">
      <c r="B18" s="13" t="s">
        <v>318</v>
      </c>
      <c r="C18" s="15">
        <v>7633</v>
      </c>
    </row>
    <row r="19" spans="2:5">
      <c r="C19" s="14"/>
    </row>
    <row r="20" spans="2:5">
      <c r="B20" t="s">
        <v>322</v>
      </c>
      <c r="C20" s="14"/>
    </row>
    <row r="21" spans="2:5">
      <c r="C21" s="14"/>
    </row>
    <row r="22" spans="2:5">
      <c r="B22" s="12" t="s">
        <v>16</v>
      </c>
      <c r="C22" t="s">
        <v>316</v>
      </c>
    </row>
    <row r="24" spans="2:5">
      <c r="B24" s="12" t="s">
        <v>317</v>
      </c>
      <c r="C24" t="s">
        <v>323</v>
      </c>
    </row>
    <row r="25" spans="2:5">
      <c r="B25" s="13" t="s">
        <v>22</v>
      </c>
      <c r="C25" s="15">
        <v>0</v>
      </c>
    </row>
    <row r="26" spans="2:5">
      <c r="B26" s="13" t="s">
        <v>26</v>
      </c>
      <c r="C26" s="15">
        <v>0</v>
      </c>
    </row>
    <row r="27" spans="2:5">
      <c r="B27" s="13" t="s">
        <v>18</v>
      </c>
      <c r="C27" s="15">
        <v>2940</v>
      </c>
    </row>
    <row r="28" spans="2:5">
      <c r="B28" s="13" t="s">
        <v>318</v>
      </c>
      <c r="C28" s="15">
        <v>2940</v>
      </c>
      <c r="E28" s="15">
        <f>GETPIVOTDATA("EA Play Season Pass
Price",$B$24)</f>
        <v>2940</v>
      </c>
    </row>
    <row r="30" spans="2:5">
      <c r="B30" t="s">
        <v>324</v>
      </c>
      <c r="C30" s="14"/>
    </row>
    <row r="31" spans="2:5">
      <c r="C31" s="14"/>
    </row>
    <row r="32" spans="2:5">
      <c r="B32" s="12" t="s">
        <v>16</v>
      </c>
      <c r="C32" t="s">
        <v>316</v>
      </c>
    </row>
    <row r="34" spans="2:5">
      <c r="B34" s="12" t="s">
        <v>317</v>
      </c>
      <c r="C34" t="s">
        <v>325</v>
      </c>
    </row>
    <row r="35" spans="2:5">
      <c r="B35" s="13" t="s">
        <v>22</v>
      </c>
      <c r="C35" s="15">
        <v>0</v>
      </c>
    </row>
    <row r="36" spans="2:5">
      <c r="B36" s="13" t="s">
        <v>26</v>
      </c>
      <c r="C36" s="15">
        <v>1920</v>
      </c>
    </row>
    <row r="37" spans="2:5">
      <c r="B37" s="13" t="s">
        <v>18</v>
      </c>
      <c r="C37" s="15">
        <v>1960</v>
      </c>
    </row>
    <row r="38" spans="2:5">
      <c r="B38" s="13" t="s">
        <v>318</v>
      </c>
      <c r="C38" s="15">
        <v>3880</v>
      </c>
      <c r="E38" s="15">
        <f>GETPIVOTDATA("Minecraft Season Pass Price",$B$34)</f>
        <v>3880</v>
      </c>
    </row>
    <row r="39" spans="2:5">
      <c r="C39" s="14"/>
    </row>
    <row r="40" spans="2:5">
      <c r="B40" t="s">
        <v>327</v>
      </c>
    </row>
    <row r="41" spans="2:5">
      <c r="B41" s="12" t="s">
        <v>16</v>
      </c>
      <c r="C41" t="s">
        <v>316</v>
      </c>
    </row>
    <row r="43" spans="2:5">
      <c r="B43" s="12" t="s">
        <v>317</v>
      </c>
      <c r="C43" t="s">
        <v>319</v>
      </c>
    </row>
    <row r="44" spans="2:5">
      <c r="B44" s="13" t="s">
        <v>22</v>
      </c>
      <c r="C44" s="15">
        <v>444</v>
      </c>
    </row>
    <row r="45" spans="2:5">
      <c r="B45" s="13" t="s">
        <v>26</v>
      </c>
      <c r="C45" s="15">
        <v>1801</v>
      </c>
    </row>
    <row r="46" spans="2:5">
      <c r="B46" s="13" t="s">
        <v>18</v>
      </c>
      <c r="C46" s="15">
        <v>5388</v>
      </c>
    </row>
    <row r="47" spans="2:5">
      <c r="B47" s="13" t="s">
        <v>318</v>
      </c>
      <c r="C47" s="15">
        <v>7633</v>
      </c>
    </row>
    <row r="49" spans="2:6">
      <c r="B49" s="13" t="s">
        <v>328</v>
      </c>
      <c r="C49" s="15"/>
    </row>
    <row r="51" spans="2:6">
      <c r="B51" s="12" t="s">
        <v>317</v>
      </c>
      <c r="C51" t="s">
        <v>329</v>
      </c>
    </row>
    <row r="52" spans="2:6">
      <c r="B52" s="13" t="s">
        <v>24</v>
      </c>
      <c r="C52" s="15">
        <v>71</v>
      </c>
    </row>
    <row r="53" spans="2:6">
      <c r="B53" s="13" t="s">
        <v>20</v>
      </c>
      <c r="C53" s="15">
        <v>139</v>
      </c>
    </row>
    <row r="54" spans="2:6">
      <c r="B54" s="13" t="s">
        <v>27</v>
      </c>
      <c r="C54" s="15">
        <v>85</v>
      </c>
    </row>
    <row r="55" spans="2:6">
      <c r="B55" s="13" t="s">
        <v>318</v>
      </c>
      <c r="C55" s="15">
        <v>295</v>
      </c>
    </row>
    <row r="57" spans="2:6">
      <c r="B57" s="13" t="s">
        <v>330</v>
      </c>
    </row>
    <row r="58" spans="2:6">
      <c r="B58" s="13"/>
    </row>
    <row r="59" spans="2:6">
      <c r="B59" t="s">
        <v>309</v>
      </c>
      <c r="E59" t="s">
        <v>30</v>
      </c>
    </row>
    <row r="60" spans="2:6">
      <c r="B60" s="12" t="s">
        <v>16</v>
      </c>
      <c r="C60" t="s">
        <v>316</v>
      </c>
      <c r="E60" s="12" t="s">
        <v>16</v>
      </c>
      <c r="F60" t="s">
        <v>316</v>
      </c>
    </row>
    <row r="62" spans="2:6">
      <c r="B62" s="12" t="s">
        <v>317</v>
      </c>
      <c r="C62" t="s">
        <v>319</v>
      </c>
      <c r="E62" s="12" t="s">
        <v>317</v>
      </c>
      <c r="F62" t="s">
        <v>319</v>
      </c>
    </row>
    <row r="63" spans="2:6">
      <c r="B63" s="13" t="s">
        <v>23</v>
      </c>
      <c r="C63" s="15">
        <v>2245</v>
      </c>
      <c r="E63" s="13" t="s">
        <v>23</v>
      </c>
      <c r="F63" s="15">
        <v>444</v>
      </c>
    </row>
    <row r="64" spans="2:6">
      <c r="B64" s="13" t="s">
        <v>19</v>
      </c>
      <c r="C64" s="15">
        <v>5388</v>
      </c>
      <c r="E64" s="13" t="s">
        <v>19</v>
      </c>
      <c r="F64" s="15">
        <v>7189</v>
      </c>
    </row>
    <row r="65" spans="2:6">
      <c r="B65" s="13" t="s">
        <v>318</v>
      </c>
      <c r="C65" s="15">
        <v>7633</v>
      </c>
      <c r="E65" s="13" t="s">
        <v>318</v>
      </c>
      <c r="F65" s="15">
        <v>7633</v>
      </c>
    </row>
    <row r="68" spans="2:6">
      <c r="B68" s="13" t="s">
        <v>331</v>
      </c>
    </row>
    <row r="70" spans="2:6">
      <c r="B70" s="12" t="s">
        <v>16</v>
      </c>
      <c r="C70" t="s">
        <v>316</v>
      </c>
    </row>
    <row r="72" spans="2:6">
      <c r="B72" s="12" t="s">
        <v>317</v>
      </c>
      <c r="C72" t="s">
        <v>319</v>
      </c>
    </row>
    <row r="73" spans="2:6">
      <c r="B73" s="13" t="s">
        <v>23</v>
      </c>
      <c r="C73" s="15">
        <v>255</v>
      </c>
    </row>
    <row r="74" spans="2:6">
      <c r="B74" s="13" t="s">
        <v>19</v>
      </c>
      <c r="C74" s="15">
        <v>7378</v>
      </c>
    </row>
    <row r="75" spans="2:6">
      <c r="B75" s="13" t="s">
        <v>318</v>
      </c>
      <c r="C75" s="15">
        <v>7633</v>
      </c>
    </row>
    <row r="78" spans="2:6">
      <c r="B78" s="13" t="s">
        <v>333</v>
      </c>
    </row>
    <row r="80" spans="2:6">
      <c r="B80" s="12" t="s">
        <v>317</v>
      </c>
      <c r="C80" t="s">
        <v>319</v>
      </c>
    </row>
    <row r="81" spans="2:3">
      <c r="B81" s="13" t="s">
        <v>334</v>
      </c>
      <c r="C81" s="15">
        <v>65</v>
      </c>
    </row>
    <row r="82" spans="2:3">
      <c r="B82" s="13" t="s">
        <v>335</v>
      </c>
      <c r="C82" s="15">
        <v>82</v>
      </c>
    </row>
    <row r="83" spans="2:3">
      <c r="B83" s="13" t="s">
        <v>336</v>
      </c>
      <c r="C83" s="15">
        <v>801</v>
      </c>
    </row>
    <row r="84" spans="2:3">
      <c r="B84" s="13" t="s">
        <v>337</v>
      </c>
      <c r="C84" s="15">
        <v>782</v>
      </c>
    </row>
    <row r="85" spans="2:3">
      <c r="B85" s="13" t="s">
        <v>338</v>
      </c>
      <c r="C85" s="15">
        <v>777</v>
      </c>
    </row>
    <row r="86" spans="2:3">
      <c r="B86" s="13" t="s">
        <v>339</v>
      </c>
      <c r="C86" s="15">
        <v>770</v>
      </c>
    </row>
    <row r="87" spans="2:3">
      <c r="B87" s="13" t="s">
        <v>340</v>
      </c>
      <c r="C87" s="15">
        <v>784</v>
      </c>
    </row>
    <row r="88" spans="2:3">
      <c r="B88" s="13" t="s">
        <v>341</v>
      </c>
      <c r="C88" s="15">
        <v>787</v>
      </c>
    </row>
    <row r="89" spans="2:3">
      <c r="B89" s="13" t="s">
        <v>342</v>
      </c>
      <c r="C89" s="15">
        <v>780</v>
      </c>
    </row>
    <row r="90" spans="2:3">
      <c r="B90" s="13" t="s">
        <v>343</v>
      </c>
      <c r="C90" s="15">
        <v>832</v>
      </c>
    </row>
    <row r="91" spans="2:3">
      <c r="B91" s="13" t="s">
        <v>344</v>
      </c>
      <c r="C91" s="15">
        <v>784</v>
      </c>
    </row>
    <row r="92" spans="2:3">
      <c r="B92" s="13" t="s">
        <v>345</v>
      </c>
      <c r="C92" s="15">
        <v>389</v>
      </c>
    </row>
    <row r="93" spans="2:3">
      <c r="B93" s="13" t="s">
        <v>318</v>
      </c>
      <c r="C93" s="15">
        <v>7633</v>
      </c>
    </row>
    <row r="96" spans="2:3" ht="15">
      <c r="B96" t="s">
        <v>346</v>
      </c>
    </row>
    <row r="98" spans="2:3">
      <c r="B98" s="12" t="s">
        <v>16</v>
      </c>
      <c r="C98" t="s">
        <v>316</v>
      </c>
    </row>
    <row r="100" spans="2:3">
      <c r="B100" s="12" t="s">
        <v>317</v>
      </c>
      <c r="C100" t="s">
        <v>319</v>
      </c>
    </row>
    <row r="101" spans="2:3">
      <c r="B101" s="13" t="s">
        <v>23</v>
      </c>
      <c r="C101" s="15">
        <v>3847</v>
      </c>
    </row>
    <row r="102" spans="2:3">
      <c r="B102" s="13" t="s">
        <v>19</v>
      </c>
      <c r="C102" s="15">
        <v>3786</v>
      </c>
    </row>
    <row r="103" spans="2:3">
      <c r="B103" s="13" t="s">
        <v>318</v>
      </c>
      <c r="C103" s="17">
        <v>7633</v>
      </c>
    </row>
    <row r="106" spans="2:3">
      <c r="B106" s="13" t="s">
        <v>347</v>
      </c>
      <c r="C106" s="19">
        <f>GETPIVOTDATA("Total Value",$B$80)</f>
        <v>7633</v>
      </c>
    </row>
    <row r="107" spans="2:3">
      <c r="B107" s="20" t="s">
        <v>348</v>
      </c>
      <c r="C107">
        <f>COUNT(Tabela1[Subscriber ID])</f>
        <v>295</v>
      </c>
    </row>
    <row r="108" spans="2:3">
      <c r="B108" t="s">
        <v>349</v>
      </c>
      <c r="C108">
        <f>COUNTIF(Tabela1[Coupon Used],"Yes")</f>
        <v>244</v>
      </c>
    </row>
  </sheetData>
  <pageMargins left="0.511811024" right="0.511811024" top="0.78740157499999996" bottom="0.78740157499999996" header="0.31496062000000002" footer="0.31496062000000002"/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T430"/>
  <sheetViews>
    <sheetView showGridLines="0" topLeftCell="A7" zoomScale="80" zoomScaleNormal="80" workbookViewId="0">
      <selection activeCell="P50" sqref="P50"/>
    </sheetView>
  </sheetViews>
  <sheetFormatPr defaultRowHeight="14.25"/>
  <cols>
    <col min="1" max="1" width="27.125" style="4" customWidth="1"/>
    <col min="2" max="2" width="3.625" customWidth="1"/>
    <col min="12" max="12" width="6.625" customWidth="1"/>
  </cols>
  <sheetData>
    <row r="2" spans="1:20" ht="44.25" customHeight="1" thickBot="1">
      <c r="C2" s="16" t="s">
        <v>326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  <c r="T2" s="18"/>
    </row>
    <row r="3" spans="1:20" ht="44.25" customHeight="1" thickTop="1"/>
    <row r="4" spans="1:20" s="7" customFormat="1" ht="8.25" customHeight="1">
      <c r="A4" s="4"/>
    </row>
    <row r="5" spans="1:20" s="7" customFormat="1" ht="7.5" customHeight="1">
      <c r="A5" s="4"/>
    </row>
    <row r="6" spans="1:20" s="7" customFormat="1" ht="10.5" customHeight="1">
      <c r="A6" s="4"/>
    </row>
    <row r="7" spans="1:20" s="7" customFormat="1" ht="9.75" customHeight="1">
      <c r="A7" s="4"/>
    </row>
    <row r="8" spans="1:20" s="7" customFormat="1" ht="33" customHeight="1">
      <c r="A8" s="4"/>
    </row>
    <row r="9" spans="1:20" s="7" customFormat="1">
      <c r="A9" s="4"/>
    </row>
    <row r="10" spans="1:20" s="7" customFormat="1">
      <c r="A10" s="4"/>
    </row>
    <row r="11" spans="1:20" s="7" customFormat="1">
      <c r="A11" s="4"/>
    </row>
    <row r="12" spans="1:20" s="7" customFormat="1">
      <c r="A12" s="4"/>
    </row>
    <row r="13" spans="1:20" s="7" customFormat="1">
      <c r="A13" s="4"/>
    </row>
    <row r="14" spans="1:20" s="7" customFormat="1">
      <c r="A14" s="4"/>
    </row>
    <row r="15" spans="1:20" s="7" customFormat="1">
      <c r="A15" s="4"/>
    </row>
    <row r="16" spans="1:20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  <row r="137" spans="1:1" s="7" customFormat="1">
      <c r="A137" s="4"/>
    </row>
    <row r="138" spans="1:1" s="7" customFormat="1">
      <c r="A138" s="4"/>
    </row>
    <row r="139" spans="1:1" s="7" customFormat="1">
      <c r="A139" s="4"/>
    </row>
    <row r="140" spans="1:1" s="7" customFormat="1">
      <c r="A140" s="4"/>
    </row>
    <row r="141" spans="1:1" s="7" customFormat="1">
      <c r="A141" s="4"/>
    </row>
    <row r="142" spans="1:1" s="7" customFormat="1">
      <c r="A142" s="4"/>
    </row>
    <row r="143" spans="1:1" s="7" customFormat="1">
      <c r="A143" s="4"/>
    </row>
    <row r="144" spans="1:1" s="7" customFormat="1">
      <c r="A144" s="4"/>
    </row>
    <row r="145" spans="1:1" s="7" customFormat="1">
      <c r="A145" s="4"/>
    </row>
    <row r="146" spans="1:1" s="7" customFormat="1">
      <c r="A146" s="4"/>
    </row>
    <row r="147" spans="1:1" s="7" customFormat="1">
      <c r="A147" s="4"/>
    </row>
    <row r="148" spans="1:1" s="7" customFormat="1">
      <c r="A148" s="4"/>
    </row>
    <row r="149" spans="1:1" s="7" customFormat="1">
      <c r="A149" s="4"/>
    </row>
    <row r="150" spans="1:1" s="7" customFormat="1">
      <c r="A150" s="4"/>
    </row>
    <row r="151" spans="1:1" s="7" customFormat="1">
      <c r="A151" s="4"/>
    </row>
    <row r="152" spans="1:1" s="7" customFormat="1">
      <c r="A152" s="4"/>
    </row>
    <row r="153" spans="1:1" s="7" customFormat="1">
      <c r="A153" s="4"/>
    </row>
    <row r="154" spans="1:1" s="7" customFormat="1">
      <c r="A154" s="4"/>
    </row>
    <row r="155" spans="1:1" s="7" customFormat="1">
      <c r="A155" s="4"/>
    </row>
    <row r="156" spans="1:1" s="7" customFormat="1">
      <c r="A156" s="4"/>
    </row>
    <row r="157" spans="1:1" s="7" customFormat="1">
      <c r="A157" s="4"/>
    </row>
    <row r="158" spans="1:1" s="7" customFormat="1">
      <c r="A158" s="4"/>
    </row>
    <row r="159" spans="1:1" s="7" customFormat="1">
      <c r="A159" s="4"/>
    </row>
    <row r="160" spans="1:1" s="7" customFormat="1">
      <c r="A160" s="4"/>
    </row>
    <row r="161" spans="1:1" s="7" customFormat="1">
      <c r="A161" s="4"/>
    </row>
    <row r="162" spans="1:1" s="7" customFormat="1">
      <c r="A162" s="4"/>
    </row>
    <row r="163" spans="1:1" s="7" customFormat="1">
      <c r="A163" s="4"/>
    </row>
    <row r="164" spans="1:1" s="7" customFormat="1">
      <c r="A164" s="4"/>
    </row>
    <row r="165" spans="1:1" s="7" customFormat="1">
      <c r="A165" s="4"/>
    </row>
    <row r="166" spans="1:1" s="7" customFormat="1">
      <c r="A166" s="4"/>
    </row>
    <row r="167" spans="1:1" s="7" customFormat="1">
      <c r="A167" s="4"/>
    </row>
    <row r="168" spans="1:1" s="7" customFormat="1">
      <c r="A168" s="4"/>
    </row>
    <row r="169" spans="1:1" s="7" customFormat="1">
      <c r="A169" s="4"/>
    </row>
    <row r="170" spans="1:1" s="7" customFormat="1">
      <c r="A170" s="4"/>
    </row>
    <row r="171" spans="1:1" s="7" customFormat="1">
      <c r="A171" s="4"/>
    </row>
    <row r="172" spans="1:1" s="7" customFormat="1">
      <c r="A172" s="4"/>
    </row>
    <row r="173" spans="1:1" s="7" customFormat="1">
      <c r="A173" s="4"/>
    </row>
    <row r="174" spans="1:1" s="7" customFormat="1">
      <c r="A174" s="4"/>
    </row>
    <row r="175" spans="1:1" s="7" customFormat="1">
      <c r="A175" s="4"/>
    </row>
    <row r="176" spans="1:1" s="7" customFormat="1">
      <c r="A176" s="4"/>
    </row>
    <row r="177" spans="1:1" s="7" customFormat="1">
      <c r="A177" s="4"/>
    </row>
    <row r="178" spans="1:1" s="7" customFormat="1">
      <c r="A178" s="4"/>
    </row>
    <row r="179" spans="1:1" s="7" customFormat="1">
      <c r="A179" s="4"/>
    </row>
    <row r="180" spans="1:1" s="7" customFormat="1">
      <c r="A180" s="4"/>
    </row>
    <row r="181" spans="1:1" s="7" customFormat="1">
      <c r="A181" s="4"/>
    </row>
    <row r="182" spans="1:1" s="7" customFormat="1">
      <c r="A182" s="4"/>
    </row>
    <row r="183" spans="1:1" s="7" customFormat="1">
      <c r="A183" s="4"/>
    </row>
    <row r="184" spans="1:1" s="7" customFormat="1">
      <c r="A184" s="4"/>
    </row>
    <row r="185" spans="1:1" s="7" customFormat="1">
      <c r="A185" s="4"/>
    </row>
    <row r="186" spans="1:1" s="7" customFormat="1">
      <c r="A186" s="4"/>
    </row>
    <row r="187" spans="1:1" s="7" customFormat="1">
      <c r="A187" s="4"/>
    </row>
    <row r="188" spans="1:1" s="7" customFormat="1">
      <c r="A188" s="4"/>
    </row>
    <row r="189" spans="1:1" s="7" customFormat="1">
      <c r="A189" s="4"/>
    </row>
    <row r="190" spans="1:1" s="7" customFormat="1">
      <c r="A190" s="4"/>
    </row>
    <row r="191" spans="1:1" s="7" customFormat="1">
      <c r="A191" s="4"/>
    </row>
    <row r="192" spans="1:1" s="7" customFormat="1">
      <c r="A192" s="4"/>
    </row>
    <row r="193" spans="1:1" s="7" customFormat="1">
      <c r="A193" s="4"/>
    </row>
    <row r="194" spans="1:1" s="7" customFormat="1">
      <c r="A194" s="4"/>
    </row>
    <row r="195" spans="1:1" s="7" customFormat="1">
      <c r="A195" s="4"/>
    </row>
    <row r="196" spans="1:1" s="7" customFormat="1">
      <c r="A196" s="4"/>
    </row>
    <row r="197" spans="1:1" s="7" customFormat="1">
      <c r="A197" s="4"/>
    </row>
    <row r="198" spans="1:1" s="7" customFormat="1">
      <c r="A198" s="4"/>
    </row>
    <row r="199" spans="1:1" s="7" customFormat="1">
      <c r="A199" s="4"/>
    </row>
    <row r="200" spans="1:1" s="7" customFormat="1">
      <c r="A200" s="4"/>
    </row>
    <row r="201" spans="1:1" s="7" customFormat="1">
      <c r="A201" s="4"/>
    </row>
    <row r="202" spans="1:1" s="7" customFormat="1">
      <c r="A202" s="4"/>
    </row>
    <row r="203" spans="1:1" s="7" customFormat="1">
      <c r="A203" s="4"/>
    </row>
    <row r="204" spans="1:1" s="7" customFormat="1">
      <c r="A204" s="4"/>
    </row>
    <row r="205" spans="1:1" s="7" customFormat="1">
      <c r="A205" s="4"/>
    </row>
    <row r="206" spans="1:1" s="7" customFormat="1">
      <c r="A206" s="4"/>
    </row>
    <row r="207" spans="1:1" s="7" customFormat="1">
      <c r="A207" s="4"/>
    </row>
    <row r="208" spans="1:1" s="7" customFormat="1">
      <c r="A208" s="4"/>
    </row>
    <row r="209" spans="1:1" s="7" customFormat="1">
      <c r="A209" s="4"/>
    </row>
    <row r="210" spans="1:1" s="7" customFormat="1">
      <c r="A210" s="4"/>
    </row>
    <row r="211" spans="1:1" s="7" customFormat="1">
      <c r="A211" s="4"/>
    </row>
    <row r="212" spans="1:1" s="7" customFormat="1">
      <c r="A212" s="4"/>
    </row>
    <row r="213" spans="1:1" s="7" customFormat="1">
      <c r="A213" s="4"/>
    </row>
    <row r="214" spans="1:1" s="7" customFormat="1">
      <c r="A214" s="4"/>
    </row>
    <row r="215" spans="1:1" s="7" customFormat="1">
      <c r="A215" s="4"/>
    </row>
    <row r="216" spans="1:1" s="7" customFormat="1">
      <c r="A216" s="4"/>
    </row>
    <row r="217" spans="1:1" s="7" customFormat="1">
      <c r="A217" s="4"/>
    </row>
    <row r="218" spans="1:1" s="7" customFormat="1">
      <c r="A218" s="4"/>
    </row>
    <row r="219" spans="1:1" s="7" customFormat="1">
      <c r="A219" s="4"/>
    </row>
    <row r="220" spans="1:1" s="7" customFormat="1">
      <c r="A220" s="4"/>
    </row>
    <row r="221" spans="1:1" s="7" customFormat="1">
      <c r="A221" s="4"/>
    </row>
    <row r="222" spans="1:1" s="7" customFormat="1">
      <c r="A222" s="4"/>
    </row>
    <row r="223" spans="1:1" s="7" customFormat="1">
      <c r="A223" s="4"/>
    </row>
    <row r="224" spans="1:1" s="7" customFormat="1">
      <c r="A224" s="4"/>
    </row>
    <row r="225" spans="1:1" s="7" customFormat="1">
      <c r="A225" s="4"/>
    </row>
    <row r="226" spans="1:1" s="7" customFormat="1">
      <c r="A226" s="4"/>
    </row>
    <row r="227" spans="1:1" s="7" customFormat="1">
      <c r="A227" s="4"/>
    </row>
    <row r="228" spans="1:1" s="7" customFormat="1">
      <c r="A228" s="4"/>
    </row>
    <row r="229" spans="1:1" s="7" customFormat="1">
      <c r="A229" s="4"/>
    </row>
    <row r="230" spans="1:1" s="7" customFormat="1">
      <c r="A230" s="4"/>
    </row>
    <row r="231" spans="1:1" s="7" customFormat="1">
      <c r="A231" s="4"/>
    </row>
    <row r="232" spans="1:1" s="7" customFormat="1">
      <c r="A232" s="4"/>
    </row>
    <row r="233" spans="1:1" s="7" customFormat="1">
      <c r="A233" s="4"/>
    </row>
    <row r="234" spans="1:1" s="7" customFormat="1">
      <c r="A234" s="4"/>
    </row>
    <row r="235" spans="1:1" s="7" customFormat="1">
      <c r="A235" s="4"/>
    </row>
    <row r="236" spans="1:1" s="7" customFormat="1">
      <c r="A236" s="4"/>
    </row>
    <row r="237" spans="1:1" s="7" customFormat="1">
      <c r="A237" s="4"/>
    </row>
    <row r="238" spans="1:1" s="7" customFormat="1">
      <c r="A238" s="4"/>
    </row>
    <row r="239" spans="1:1" s="7" customFormat="1">
      <c r="A239" s="4"/>
    </row>
    <row r="240" spans="1:1" s="7" customFormat="1">
      <c r="A240" s="4"/>
    </row>
    <row r="241" spans="1:1" s="7" customFormat="1">
      <c r="A241" s="4"/>
    </row>
    <row r="242" spans="1:1" s="7" customFormat="1">
      <c r="A242" s="4"/>
    </row>
    <row r="243" spans="1:1" s="7" customFormat="1">
      <c r="A243" s="4"/>
    </row>
    <row r="244" spans="1:1" s="7" customFormat="1">
      <c r="A244" s="4"/>
    </row>
    <row r="245" spans="1:1" s="7" customFormat="1">
      <c r="A245" s="4"/>
    </row>
    <row r="246" spans="1:1" s="7" customFormat="1">
      <c r="A246" s="4"/>
    </row>
    <row r="247" spans="1:1" s="7" customFormat="1">
      <c r="A247" s="4"/>
    </row>
    <row r="248" spans="1:1" s="7" customFormat="1">
      <c r="A248" s="4"/>
    </row>
    <row r="249" spans="1:1" s="7" customFormat="1">
      <c r="A249" s="4"/>
    </row>
    <row r="250" spans="1:1" s="7" customFormat="1">
      <c r="A250" s="4"/>
    </row>
    <row r="251" spans="1:1" s="7" customFormat="1">
      <c r="A251" s="4"/>
    </row>
    <row r="252" spans="1:1" s="7" customFormat="1">
      <c r="A252" s="4"/>
    </row>
    <row r="253" spans="1:1" s="7" customFormat="1">
      <c r="A253" s="4"/>
    </row>
    <row r="254" spans="1:1" s="7" customFormat="1">
      <c r="A254" s="4"/>
    </row>
    <row r="255" spans="1:1" s="7" customFormat="1">
      <c r="A255" s="4"/>
    </row>
    <row r="256" spans="1:1" s="7" customFormat="1">
      <c r="A256" s="4"/>
    </row>
    <row r="257" spans="1:1" s="7" customFormat="1">
      <c r="A257" s="4"/>
    </row>
    <row r="258" spans="1:1" s="7" customFormat="1">
      <c r="A258" s="4"/>
    </row>
    <row r="259" spans="1:1" s="7" customFormat="1">
      <c r="A259" s="4"/>
    </row>
    <row r="260" spans="1:1" s="7" customFormat="1">
      <c r="A260" s="4"/>
    </row>
    <row r="261" spans="1:1" s="7" customFormat="1">
      <c r="A261" s="4"/>
    </row>
    <row r="262" spans="1:1" s="7" customFormat="1">
      <c r="A262" s="4"/>
    </row>
    <row r="263" spans="1:1" s="7" customFormat="1">
      <c r="A263" s="4"/>
    </row>
    <row r="264" spans="1:1" s="7" customFormat="1">
      <c r="A264" s="4"/>
    </row>
    <row r="265" spans="1:1" s="7" customFormat="1">
      <c r="A265" s="4"/>
    </row>
    <row r="266" spans="1:1" s="7" customFormat="1">
      <c r="A266" s="4"/>
    </row>
    <row r="267" spans="1:1" s="7" customFormat="1">
      <c r="A267" s="4"/>
    </row>
    <row r="268" spans="1:1" s="7" customFormat="1">
      <c r="A268" s="4"/>
    </row>
    <row r="269" spans="1:1" s="7" customFormat="1">
      <c r="A269" s="4"/>
    </row>
    <row r="270" spans="1:1" s="7" customFormat="1">
      <c r="A270" s="4"/>
    </row>
    <row r="271" spans="1:1" s="7" customFormat="1">
      <c r="A271" s="4"/>
    </row>
    <row r="272" spans="1:1" s="7" customFormat="1">
      <c r="A272" s="4"/>
    </row>
    <row r="273" spans="1:1" s="7" customFormat="1">
      <c r="A273" s="4"/>
    </row>
    <row r="274" spans="1:1" s="7" customFormat="1">
      <c r="A274" s="4"/>
    </row>
    <row r="275" spans="1:1" s="7" customFormat="1">
      <c r="A275" s="4"/>
    </row>
    <row r="276" spans="1:1" s="7" customFormat="1">
      <c r="A276" s="4"/>
    </row>
    <row r="277" spans="1:1" s="7" customFormat="1">
      <c r="A277" s="4"/>
    </row>
    <row r="278" spans="1:1" s="7" customFormat="1">
      <c r="A278" s="4"/>
    </row>
    <row r="279" spans="1:1" s="7" customFormat="1">
      <c r="A279" s="4"/>
    </row>
    <row r="280" spans="1:1" s="7" customFormat="1">
      <c r="A280" s="4"/>
    </row>
    <row r="281" spans="1:1" s="7" customFormat="1">
      <c r="A281" s="4"/>
    </row>
    <row r="282" spans="1:1" s="7" customFormat="1">
      <c r="A282" s="4"/>
    </row>
    <row r="283" spans="1:1" s="7" customFormat="1">
      <c r="A283" s="4"/>
    </row>
    <row r="284" spans="1:1" s="7" customFormat="1">
      <c r="A284" s="4"/>
    </row>
    <row r="285" spans="1:1" s="7" customFormat="1">
      <c r="A285" s="4"/>
    </row>
    <row r="286" spans="1:1" s="7" customFormat="1">
      <c r="A286" s="4"/>
    </row>
    <row r="287" spans="1:1" s="7" customFormat="1">
      <c r="A287" s="4"/>
    </row>
    <row r="288" spans="1:1" s="7" customFormat="1">
      <c r="A288" s="4"/>
    </row>
    <row r="289" spans="1:1" s="7" customFormat="1">
      <c r="A289" s="4"/>
    </row>
    <row r="290" spans="1:1" s="7" customFormat="1">
      <c r="A290" s="4"/>
    </row>
    <row r="291" spans="1:1" s="7" customFormat="1">
      <c r="A291" s="4"/>
    </row>
    <row r="292" spans="1:1" s="7" customFormat="1">
      <c r="A292" s="4"/>
    </row>
    <row r="293" spans="1:1" s="7" customFormat="1">
      <c r="A293" s="4"/>
    </row>
    <row r="294" spans="1:1" s="7" customFormat="1">
      <c r="A294" s="4"/>
    </row>
    <row r="295" spans="1:1" s="7" customFormat="1">
      <c r="A295" s="4"/>
    </row>
    <row r="296" spans="1:1" s="7" customFormat="1">
      <c r="A296" s="4"/>
    </row>
    <row r="297" spans="1:1" s="7" customFormat="1">
      <c r="A297" s="4"/>
    </row>
    <row r="298" spans="1:1" s="7" customFormat="1">
      <c r="A298" s="4"/>
    </row>
    <row r="299" spans="1:1" s="7" customFormat="1">
      <c r="A299" s="4"/>
    </row>
    <row r="300" spans="1:1" s="7" customFormat="1">
      <c r="A300" s="4"/>
    </row>
    <row r="301" spans="1:1" s="7" customFormat="1">
      <c r="A301" s="4"/>
    </row>
    <row r="302" spans="1:1" s="7" customFormat="1">
      <c r="A302" s="4"/>
    </row>
    <row r="303" spans="1:1" s="7" customFormat="1">
      <c r="A303" s="4"/>
    </row>
    <row r="304" spans="1:1" s="7" customFormat="1">
      <c r="A304" s="4"/>
    </row>
    <row r="305" spans="1:1" s="7" customFormat="1">
      <c r="A305" s="4"/>
    </row>
    <row r="306" spans="1:1" s="7" customFormat="1">
      <c r="A306" s="4"/>
    </row>
    <row r="307" spans="1:1" s="7" customFormat="1">
      <c r="A307" s="4"/>
    </row>
    <row r="308" spans="1:1" s="7" customFormat="1">
      <c r="A308" s="4"/>
    </row>
    <row r="309" spans="1:1" s="7" customFormat="1">
      <c r="A309" s="4"/>
    </row>
    <row r="310" spans="1:1" s="7" customFormat="1">
      <c r="A310" s="4"/>
    </row>
    <row r="311" spans="1:1" s="7" customFormat="1">
      <c r="A311" s="4"/>
    </row>
    <row r="312" spans="1:1" s="7" customFormat="1">
      <c r="A312" s="4"/>
    </row>
    <row r="313" spans="1:1" s="7" customFormat="1">
      <c r="A313" s="4"/>
    </row>
    <row r="314" spans="1:1" s="7" customFormat="1">
      <c r="A314" s="4"/>
    </row>
    <row r="315" spans="1:1" s="7" customFormat="1">
      <c r="A315" s="4"/>
    </row>
    <row r="316" spans="1:1" s="7" customFormat="1">
      <c r="A316" s="4"/>
    </row>
    <row r="317" spans="1:1" s="7" customFormat="1">
      <c r="A317" s="4"/>
    </row>
    <row r="318" spans="1:1" s="7" customFormat="1">
      <c r="A318" s="4"/>
    </row>
    <row r="319" spans="1:1" s="7" customFormat="1">
      <c r="A319" s="4"/>
    </row>
    <row r="320" spans="1:1" s="7" customFormat="1">
      <c r="A320" s="4"/>
    </row>
    <row r="321" spans="1:1" s="7" customFormat="1">
      <c r="A321" s="4"/>
    </row>
    <row r="322" spans="1:1" s="7" customFormat="1">
      <c r="A322" s="4"/>
    </row>
    <row r="323" spans="1:1" s="7" customFormat="1">
      <c r="A323" s="4"/>
    </row>
    <row r="324" spans="1:1" s="7" customFormat="1">
      <c r="A324" s="4"/>
    </row>
    <row r="325" spans="1:1" s="7" customFormat="1">
      <c r="A325" s="4"/>
    </row>
    <row r="326" spans="1:1" s="7" customFormat="1">
      <c r="A326" s="4"/>
    </row>
    <row r="327" spans="1:1" s="7" customFormat="1">
      <c r="A327" s="4"/>
    </row>
    <row r="328" spans="1:1" s="7" customFormat="1">
      <c r="A328" s="4"/>
    </row>
    <row r="329" spans="1:1" s="7" customFormat="1">
      <c r="A329" s="4"/>
    </row>
    <row r="330" spans="1:1" s="7" customFormat="1">
      <c r="A330" s="4"/>
    </row>
    <row r="331" spans="1:1" s="7" customFormat="1">
      <c r="A331" s="4"/>
    </row>
    <row r="332" spans="1:1" s="7" customFormat="1">
      <c r="A332" s="4"/>
    </row>
    <row r="333" spans="1:1" s="7" customFormat="1">
      <c r="A333" s="4"/>
    </row>
    <row r="334" spans="1:1" s="7" customFormat="1">
      <c r="A334" s="4"/>
    </row>
    <row r="335" spans="1:1" s="7" customFormat="1">
      <c r="A335" s="4"/>
    </row>
    <row r="336" spans="1:1" s="7" customFormat="1">
      <c r="A336" s="4"/>
    </row>
    <row r="337" spans="1:1" s="7" customFormat="1">
      <c r="A337" s="4"/>
    </row>
    <row r="338" spans="1:1" s="7" customFormat="1">
      <c r="A338" s="4"/>
    </row>
    <row r="339" spans="1:1" s="7" customFormat="1">
      <c r="A339" s="4"/>
    </row>
    <row r="340" spans="1:1" s="7" customFormat="1">
      <c r="A340" s="4"/>
    </row>
    <row r="341" spans="1:1" s="7" customFormat="1">
      <c r="A341" s="4"/>
    </row>
    <row r="342" spans="1:1" s="7" customFormat="1">
      <c r="A342" s="4"/>
    </row>
    <row r="343" spans="1:1" s="7" customFormat="1">
      <c r="A343" s="4"/>
    </row>
    <row r="344" spans="1:1" s="7" customFormat="1">
      <c r="A344" s="4"/>
    </row>
    <row r="345" spans="1:1" s="7" customFormat="1">
      <c r="A345" s="4"/>
    </row>
    <row r="346" spans="1:1" s="7" customFormat="1">
      <c r="A346" s="4"/>
    </row>
    <row r="347" spans="1:1" s="7" customFormat="1">
      <c r="A347" s="4"/>
    </row>
    <row r="348" spans="1:1" s="7" customFormat="1">
      <c r="A348" s="4"/>
    </row>
    <row r="349" spans="1:1" s="7" customFormat="1">
      <c r="A349" s="4"/>
    </row>
    <row r="350" spans="1:1" s="7" customFormat="1">
      <c r="A350" s="4"/>
    </row>
    <row r="351" spans="1:1" s="7" customFormat="1">
      <c r="A351" s="4"/>
    </row>
    <row r="352" spans="1:1" s="7" customFormat="1">
      <c r="A352" s="4"/>
    </row>
    <row r="353" spans="1:1" s="7" customFormat="1">
      <c r="A353" s="4"/>
    </row>
    <row r="354" spans="1:1" s="7" customFormat="1">
      <c r="A354" s="4"/>
    </row>
    <row r="355" spans="1:1" s="7" customFormat="1">
      <c r="A355" s="4"/>
    </row>
    <row r="356" spans="1:1" s="7" customFormat="1">
      <c r="A356" s="4"/>
    </row>
    <row r="357" spans="1:1" s="7" customFormat="1">
      <c r="A357" s="4"/>
    </row>
    <row r="358" spans="1:1" s="7" customFormat="1">
      <c r="A358" s="4"/>
    </row>
    <row r="359" spans="1:1" s="7" customFormat="1">
      <c r="A359" s="4"/>
    </row>
    <row r="360" spans="1:1" s="7" customFormat="1">
      <c r="A360" s="4"/>
    </row>
    <row r="361" spans="1:1" s="7" customFormat="1">
      <c r="A361" s="4"/>
    </row>
    <row r="362" spans="1:1" s="7" customFormat="1">
      <c r="A362" s="4"/>
    </row>
    <row r="363" spans="1:1" s="7" customFormat="1">
      <c r="A363" s="4"/>
    </row>
    <row r="364" spans="1:1" s="7" customFormat="1">
      <c r="A364" s="4"/>
    </row>
    <row r="365" spans="1:1" s="7" customFormat="1">
      <c r="A365" s="4"/>
    </row>
    <row r="366" spans="1:1" s="7" customFormat="1">
      <c r="A366" s="4"/>
    </row>
    <row r="367" spans="1:1" s="7" customFormat="1">
      <c r="A367" s="4"/>
    </row>
    <row r="368" spans="1:1" s="7" customFormat="1">
      <c r="A368" s="4"/>
    </row>
    <row r="369" spans="1:1" s="7" customFormat="1">
      <c r="A369" s="4"/>
    </row>
    <row r="370" spans="1:1" s="7" customFormat="1">
      <c r="A370" s="4"/>
    </row>
    <row r="371" spans="1:1" s="7" customFormat="1">
      <c r="A371" s="4"/>
    </row>
    <row r="372" spans="1:1" s="7" customFormat="1">
      <c r="A372" s="4"/>
    </row>
    <row r="373" spans="1:1" s="7" customFormat="1">
      <c r="A373" s="4"/>
    </row>
    <row r="374" spans="1:1" s="7" customFormat="1">
      <c r="A374" s="4"/>
    </row>
    <row r="375" spans="1:1" s="7" customFormat="1">
      <c r="A375" s="4"/>
    </row>
    <row r="376" spans="1:1" s="7" customFormat="1">
      <c r="A376" s="4"/>
    </row>
    <row r="377" spans="1:1" s="7" customFormat="1">
      <c r="A377" s="4"/>
    </row>
    <row r="378" spans="1:1" s="7" customFormat="1">
      <c r="A378" s="4"/>
    </row>
    <row r="379" spans="1:1" s="7" customFormat="1">
      <c r="A379" s="4"/>
    </row>
    <row r="380" spans="1:1" s="7" customFormat="1">
      <c r="A380" s="4"/>
    </row>
    <row r="381" spans="1:1" s="7" customFormat="1">
      <c r="A381" s="4"/>
    </row>
    <row r="382" spans="1:1" s="7" customFormat="1">
      <c r="A382" s="4"/>
    </row>
    <row r="383" spans="1:1" s="7" customFormat="1">
      <c r="A383" s="4"/>
    </row>
    <row r="384" spans="1:1" s="7" customFormat="1">
      <c r="A384" s="4"/>
    </row>
    <row r="385" spans="1:1" s="7" customFormat="1">
      <c r="A385" s="4"/>
    </row>
    <row r="386" spans="1:1" s="7" customFormat="1">
      <c r="A386" s="4"/>
    </row>
    <row r="387" spans="1:1" s="7" customFormat="1">
      <c r="A387" s="4"/>
    </row>
    <row r="388" spans="1:1" s="7" customFormat="1">
      <c r="A388" s="4"/>
    </row>
    <row r="389" spans="1:1" s="7" customFormat="1">
      <c r="A389" s="4"/>
    </row>
    <row r="390" spans="1:1" s="7" customFormat="1">
      <c r="A390" s="4"/>
    </row>
    <row r="391" spans="1:1" s="7" customFormat="1">
      <c r="A391" s="4"/>
    </row>
    <row r="392" spans="1:1" s="7" customFormat="1">
      <c r="A392" s="4"/>
    </row>
    <row r="393" spans="1:1" s="7" customFormat="1">
      <c r="A393" s="4"/>
    </row>
    <row r="394" spans="1:1" s="7" customFormat="1">
      <c r="A394" s="4"/>
    </row>
    <row r="395" spans="1:1" s="7" customFormat="1">
      <c r="A395" s="4"/>
    </row>
    <row r="396" spans="1:1" s="7" customFormat="1">
      <c r="A396" s="4"/>
    </row>
    <row r="397" spans="1:1" s="7" customFormat="1">
      <c r="A397" s="4"/>
    </row>
    <row r="398" spans="1:1" s="7" customFormat="1">
      <c r="A398" s="4"/>
    </row>
    <row r="399" spans="1:1" s="7" customFormat="1">
      <c r="A399" s="4"/>
    </row>
    <row r="400" spans="1:1" s="7" customFormat="1">
      <c r="A400" s="4"/>
    </row>
    <row r="401" spans="1:1" s="7" customFormat="1">
      <c r="A401" s="4"/>
    </row>
    <row r="402" spans="1:1" s="7" customFormat="1">
      <c r="A402" s="4"/>
    </row>
    <row r="403" spans="1:1" s="7" customFormat="1">
      <c r="A403" s="4"/>
    </row>
    <row r="404" spans="1:1" s="7" customFormat="1">
      <c r="A404" s="4"/>
    </row>
    <row r="405" spans="1:1" s="7" customFormat="1">
      <c r="A405" s="4"/>
    </row>
    <row r="406" spans="1:1" s="7" customFormat="1">
      <c r="A406" s="4"/>
    </row>
    <row r="407" spans="1:1" s="7" customFormat="1">
      <c r="A407" s="4"/>
    </row>
    <row r="408" spans="1:1" s="7" customFormat="1">
      <c r="A408" s="4"/>
    </row>
    <row r="409" spans="1:1" s="7" customFormat="1">
      <c r="A409" s="4"/>
    </row>
    <row r="410" spans="1:1" s="7" customFormat="1">
      <c r="A410" s="4"/>
    </row>
    <row r="411" spans="1:1" s="7" customFormat="1">
      <c r="A411" s="4"/>
    </row>
    <row r="412" spans="1:1" s="7" customFormat="1">
      <c r="A412" s="4"/>
    </row>
    <row r="413" spans="1:1" s="7" customFormat="1">
      <c r="A413" s="4"/>
    </row>
    <row r="414" spans="1:1" s="7" customFormat="1">
      <c r="A414" s="4"/>
    </row>
    <row r="415" spans="1:1" s="7" customFormat="1">
      <c r="A415" s="4"/>
    </row>
    <row r="416" spans="1:1" s="7" customFormat="1">
      <c r="A416" s="4"/>
    </row>
    <row r="417" spans="1:1" s="7" customFormat="1">
      <c r="A417" s="4"/>
    </row>
    <row r="418" spans="1:1" s="7" customFormat="1">
      <c r="A418" s="4"/>
    </row>
    <row r="419" spans="1:1" s="7" customFormat="1">
      <c r="A419" s="4"/>
    </row>
    <row r="420" spans="1:1" s="7" customFormat="1">
      <c r="A420" s="4"/>
    </row>
    <row r="421" spans="1:1" s="7" customFormat="1">
      <c r="A421" s="4"/>
    </row>
    <row r="422" spans="1:1" s="7" customFormat="1">
      <c r="A422" s="4"/>
    </row>
    <row r="423" spans="1:1" s="7" customFormat="1">
      <c r="A423" s="4"/>
    </row>
    <row r="424" spans="1:1" s="7" customFormat="1">
      <c r="A424" s="4"/>
    </row>
    <row r="425" spans="1:1" s="7" customFormat="1">
      <c r="A425" s="4"/>
    </row>
    <row r="426" spans="1:1" s="7" customFormat="1">
      <c r="A426" s="4"/>
    </row>
    <row r="427" spans="1:1" s="7" customFormat="1">
      <c r="A427" s="4"/>
    </row>
    <row r="428" spans="1:1" s="7" customFormat="1">
      <c r="A428" s="4"/>
    </row>
    <row r="429" spans="1:1" s="7" customFormat="1">
      <c r="A429" s="4"/>
    </row>
    <row r="430" spans="1:1" s="7" customFormat="1">
      <c r="A430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8086C-E213-4215-8886-680A91329418}">
  <dimension ref="A2:T430"/>
  <sheetViews>
    <sheetView showGridLines="0" showRowColHeaders="0" tabSelected="1" zoomScale="50" zoomScaleNormal="50" workbookViewId="0">
      <selection activeCell="AS29" sqref="AS29"/>
    </sheetView>
  </sheetViews>
  <sheetFormatPr defaultRowHeight="14.25"/>
  <cols>
    <col min="1" max="1" width="27.125" style="4" customWidth="1"/>
    <col min="2" max="2" width="3.625" customWidth="1"/>
    <col min="12" max="12" width="6.625" customWidth="1"/>
  </cols>
  <sheetData>
    <row r="2" spans="1:20" ht="44.25" customHeight="1" thickBot="1">
      <c r="C2" s="16" t="s">
        <v>326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  <c r="T2" s="18"/>
    </row>
    <row r="3" spans="1:20" ht="44.25" customHeight="1" thickTop="1"/>
    <row r="4" spans="1:20" s="7" customFormat="1" ht="8.25" customHeight="1">
      <c r="A4" s="4"/>
    </row>
    <row r="5" spans="1:20" s="7" customFormat="1" ht="7.5" customHeight="1">
      <c r="A5" s="4"/>
    </row>
    <row r="6" spans="1:20" s="7" customFormat="1" ht="10.5" customHeight="1">
      <c r="A6" s="4"/>
    </row>
    <row r="7" spans="1:20" s="7" customFormat="1" ht="9.75" customHeight="1">
      <c r="A7" s="4"/>
    </row>
    <row r="8" spans="1:20" s="7" customFormat="1" ht="33" customHeight="1">
      <c r="A8" s="4"/>
    </row>
    <row r="9" spans="1:20" s="7" customFormat="1">
      <c r="A9" s="4"/>
    </row>
    <row r="10" spans="1:20" s="7" customFormat="1">
      <c r="A10" s="4"/>
    </row>
    <row r="11" spans="1:20" s="7" customFormat="1">
      <c r="A11" s="4"/>
    </row>
    <row r="12" spans="1:20" s="7" customFormat="1">
      <c r="A12" s="4"/>
    </row>
    <row r="13" spans="1:20" s="7" customFormat="1">
      <c r="A13" s="4"/>
    </row>
    <row r="14" spans="1:20" s="7" customFormat="1">
      <c r="A14" s="4"/>
    </row>
    <row r="15" spans="1:20" s="7" customFormat="1">
      <c r="A15" s="4"/>
    </row>
    <row r="16" spans="1:20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  <row r="137" spans="1:1" s="7" customFormat="1">
      <c r="A137" s="4"/>
    </row>
    <row r="138" spans="1:1" s="7" customFormat="1">
      <c r="A138" s="4"/>
    </row>
    <row r="139" spans="1:1" s="7" customFormat="1">
      <c r="A139" s="4"/>
    </row>
    <row r="140" spans="1:1" s="7" customFormat="1">
      <c r="A140" s="4"/>
    </row>
    <row r="141" spans="1:1" s="7" customFormat="1">
      <c r="A141" s="4"/>
    </row>
    <row r="142" spans="1:1" s="7" customFormat="1">
      <c r="A142" s="4"/>
    </row>
    <row r="143" spans="1:1" s="7" customFormat="1">
      <c r="A143" s="4"/>
    </row>
    <row r="144" spans="1:1" s="7" customFormat="1">
      <c r="A144" s="4"/>
    </row>
    <row r="145" spans="1:1" s="7" customFormat="1">
      <c r="A145" s="4"/>
    </row>
    <row r="146" spans="1:1" s="7" customFormat="1">
      <c r="A146" s="4"/>
    </row>
    <row r="147" spans="1:1" s="7" customFormat="1">
      <c r="A147" s="4"/>
    </row>
    <row r="148" spans="1:1" s="7" customFormat="1">
      <c r="A148" s="4"/>
    </row>
    <row r="149" spans="1:1" s="7" customFormat="1">
      <c r="A149" s="4"/>
    </row>
    <row r="150" spans="1:1" s="7" customFormat="1">
      <c r="A150" s="4"/>
    </row>
    <row r="151" spans="1:1" s="7" customFormat="1">
      <c r="A151" s="4"/>
    </row>
    <row r="152" spans="1:1" s="7" customFormat="1">
      <c r="A152" s="4"/>
    </row>
    <row r="153" spans="1:1" s="7" customFormat="1">
      <c r="A153" s="4"/>
    </row>
    <row r="154" spans="1:1" s="7" customFormat="1">
      <c r="A154" s="4"/>
    </row>
    <row r="155" spans="1:1" s="7" customFormat="1">
      <c r="A155" s="4"/>
    </row>
    <row r="156" spans="1:1" s="7" customFormat="1">
      <c r="A156" s="4"/>
    </row>
    <row r="157" spans="1:1" s="7" customFormat="1">
      <c r="A157" s="4"/>
    </row>
    <row r="158" spans="1:1" s="7" customFormat="1">
      <c r="A158" s="4"/>
    </row>
    <row r="159" spans="1:1" s="7" customFormat="1">
      <c r="A159" s="4"/>
    </row>
    <row r="160" spans="1:1" s="7" customFormat="1">
      <c r="A160" s="4"/>
    </row>
    <row r="161" spans="1:1" s="7" customFormat="1">
      <c r="A161" s="4"/>
    </row>
    <row r="162" spans="1:1" s="7" customFormat="1">
      <c r="A162" s="4"/>
    </row>
    <row r="163" spans="1:1" s="7" customFormat="1">
      <c r="A163" s="4"/>
    </row>
    <row r="164" spans="1:1" s="7" customFormat="1">
      <c r="A164" s="4"/>
    </row>
    <row r="165" spans="1:1" s="7" customFormat="1">
      <c r="A165" s="4"/>
    </row>
    <row r="166" spans="1:1" s="7" customFormat="1">
      <c r="A166" s="4"/>
    </row>
    <row r="167" spans="1:1" s="7" customFormat="1">
      <c r="A167" s="4"/>
    </row>
    <row r="168" spans="1:1" s="7" customFormat="1">
      <c r="A168" s="4"/>
    </row>
    <row r="169" spans="1:1" s="7" customFormat="1">
      <c r="A169" s="4"/>
    </row>
    <row r="170" spans="1:1" s="7" customFormat="1">
      <c r="A170" s="4"/>
    </row>
    <row r="171" spans="1:1" s="7" customFormat="1">
      <c r="A171" s="4"/>
    </row>
    <row r="172" spans="1:1" s="7" customFormat="1">
      <c r="A172" s="4"/>
    </row>
    <row r="173" spans="1:1" s="7" customFormat="1">
      <c r="A173" s="4"/>
    </row>
    <row r="174" spans="1:1" s="7" customFormat="1">
      <c r="A174" s="4"/>
    </row>
    <row r="175" spans="1:1" s="7" customFormat="1">
      <c r="A175" s="4"/>
    </row>
    <row r="176" spans="1:1" s="7" customFormat="1">
      <c r="A176" s="4"/>
    </row>
    <row r="177" spans="1:1" s="7" customFormat="1">
      <c r="A177" s="4"/>
    </row>
    <row r="178" spans="1:1" s="7" customFormat="1">
      <c r="A178" s="4"/>
    </row>
    <row r="179" spans="1:1" s="7" customFormat="1">
      <c r="A179" s="4"/>
    </row>
    <row r="180" spans="1:1" s="7" customFormat="1">
      <c r="A180" s="4"/>
    </row>
    <row r="181" spans="1:1" s="7" customFormat="1">
      <c r="A181" s="4"/>
    </row>
    <row r="182" spans="1:1" s="7" customFormat="1">
      <c r="A182" s="4"/>
    </row>
    <row r="183" spans="1:1" s="7" customFormat="1">
      <c r="A183" s="4"/>
    </row>
    <row r="184" spans="1:1" s="7" customFormat="1">
      <c r="A184" s="4"/>
    </row>
    <row r="185" spans="1:1" s="7" customFormat="1">
      <c r="A185" s="4"/>
    </row>
    <row r="186" spans="1:1" s="7" customFormat="1">
      <c r="A186" s="4"/>
    </row>
    <row r="187" spans="1:1" s="7" customFormat="1">
      <c r="A187" s="4"/>
    </row>
    <row r="188" spans="1:1" s="7" customFormat="1">
      <c r="A188" s="4"/>
    </row>
    <row r="189" spans="1:1" s="7" customFormat="1">
      <c r="A189" s="4"/>
    </row>
    <row r="190" spans="1:1" s="7" customFormat="1">
      <c r="A190" s="4"/>
    </row>
    <row r="191" spans="1:1" s="7" customFormat="1">
      <c r="A191" s="4"/>
    </row>
    <row r="192" spans="1:1" s="7" customFormat="1">
      <c r="A192" s="4"/>
    </row>
    <row r="193" spans="1:1" s="7" customFormat="1">
      <c r="A193" s="4"/>
    </row>
    <row r="194" spans="1:1" s="7" customFormat="1">
      <c r="A194" s="4"/>
    </row>
    <row r="195" spans="1:1" s="7" customFormat="1">
      <c r="A195" s="4"/>
    </row>
    <row r="196" spans="1:1" s="7" customFormat="1">
      <c r="A196" s="4"/>
    </row>
    <row r="197" spans="1:1" s="7" customFormat="1">
      <c r="A197" s="4"/>
    </row>
    <row r="198" spans="1:1" s="7" customFormat="1">
      <c r="A198" s="4"/>
    </row>
    <row r="199" spans="1:1" s="7" customFormat="1">
      <c r="A199" s="4"/>
    </row>
    <row r="200" spans="1:1" s="7" customFormat="1">
      <c r="A200" s="4"/>
    </row>
    <row r="201" spans="1:1" s="7" customFormat="1">
      <c r="A201" s="4"/>
    </row>
    <row r="202" spans="1:1" s="7" customFormat="1">
      <c r="A202" s="4"/>
    </row>
    <row r="203" spans="1:1" s="7" customFormat="1">
      <c r="A203" s="4"/>
    </row>
    <row r="204" spans="1:1" s="7" customFormat="1">
      <c r="A204" s="4"/>
    </row>
    <row r="205" spans="1:1" s="7" customFormat="1">
      <c r="A205" s="4"/>
    </row>
    <row r="206" spans="1:1" s="7" customFormat="1">
      <c r="A206" s="4"/>
    </row>
    <row r="207" spans="1:1" s="7" customFormat="1">
      <c r="A207" s="4"/>
    </row>
    <row r="208" spans="1:1" s="7" customFormat="1">
      <c r="A208" s="4"/>
    </row>
    <row r="209" spans="1:1" s="7" customFormat="1">
      <c r="A209" s="4"/>
    </row>
    <row r="210" spans="1:1" s="7" customFormat="1">
      <c r="A210" s="4"/>
    </row>
    <row r="211" spans="1:1" s="7" customFormat="1">
      <c r="A211" s="4"/>
    </row>
    <row r="212" spans="1:1" s="7" customFormat="1">
      <c r="A212" s="4"/>
    </row>
    <row r="213" spans="1:1" s="7" customFormat="1">
      <c r="A213" s="4"/>
    </row>
    <row r="214" spans="1:1" s="7" customFormat="1">
      <c r="A214" s="4"/>
    </row>
    <row r="215" spans="1:1" s="7" customFormat="1">
      <c r="A215" s="4"/>
    </row>
    <row r="216" spans="1:1" s="7" customFormat="1">
      <c r="A216" s="4"/>
    </row>
    <row r="217" spans="1:1" s="7" customFormat="1">
      <c r="A217" s="4"/>
    </row>
    <row r="218" spans="1:1" s="7" customFormat="1">
      <c r="A218" s="4"/>
    </row>
    <row r="219" spans="1:1" s="7" customFormat="1">
      <c r="A219" s="4"/>
    </row>
    <row r="220" spans="1:1" s="7" customFormat="1">
      <c r="A220" s="4"/>
    </row>
    <row r="221" spans="1:1" s="7" customFormat="1">
      <c r="A221" s="4"/>
    </row>
    <row r="222" spans="1:1" s="7" customFormat="1">
      <c r="A222" s="4"/>
    </row>
    <row r="223" spans="1:1" s="7" customFormat="1">
      <c r="A223" s="4"/>
    </row>
    <row r="224" spans="1:1" s="7" customFormat="1">
      <c r="A224" s="4"/>
    </row>
    <row r="225" spans="1:1" s="7" customFormat="1">
      <c r="A225" s="4"/>
    </row>
    <row r="226" spans="1:1" s="7" customFormat="1">
      <c r="A226" s="4"/>
    </row>
    <row r="227" spans="1:1" s="7" customFormat="1">
      <c r="A227" s="4"/>
    </row>
    <row r="228" spans="1:1" s="7" customFormat="1">
      <c r="A228" s="4"/>
    </row>
    <row r="229" spans="1:1" s="7" customFormat="1">
      <c r="A229" s="4"/>
    </row>
    <row r="230" spans="1:1" s="7" customFormat="1">
      <c r="A230" s="4"/>
    </row>
    <row r="231" spans="1:1" s="7" customFormat="1">
      <c r="A231" s="4"/>
    </row>
    <row r="232" spans="1:1" s="7" customFormat="1">
      <c r="A232" s="4"/>
    </row>
    <row r="233" spans="1:1" s="7" customFormat="1">
      <c r="A233" s="4"/>
    </row>
    <row r="234" spans="1:1" s="7" customFormat="1">
      <c r="A234" s="4"/>
    </row>
    <row r="235" spans="1:1" s="7" customFormat="1">
      <c r="A235" s="4"/>
    </row>
    <row r="236" spans="1:1" s="7" customFormat="1">
      <c r="A236" s="4"/>
    </row>
    <row r="237" spans="1:1" s="7" customFormat="1">
      <c r="A237" s="4"/>
    </row>
    <row r="238" spans="1:1" s="7" customFormat="1">
      <c r="A238" s="4"/>
    </row>
    <row r="239" spans="1:1" s="7" customFormat="1">
      <c r="A239" s="4"/>
    </row>
    <row r="240" spans="1:1" s="7" customFormat="1">
      <c r="A240" s="4"/>
    </row>
    <row r="241" spans="1:1" s="7" customFormat="1">
      <c r="A241" s="4"/>
    </row>
    <row r="242" spans="1:1" s="7" customFormat="1">
      <c r="A242" s="4"/>
    </row>
    <row r="243" spans="1:1" s="7" customFormat="1">
      <c r="A243" s="4"/>
    </row>
    <row r="244" spans="1:1" s="7" customFormat="1">
      <c r="A244" s="4"/>
    </row>
    <row r="245" spans="1:1" s="7" customFormat="1">
      <c r="A245" s="4"/>
    </row>
    <row r="246" spans="1:1" s="7" customFormat="1">
      <c r="A246" s="4"/>
    </row>
    <row r="247" spans="1:1" s="7" customFormat="1">
      <c r="A247" s="4"/>
    </row>
    <row r="248" spans="1:1" s="7" customFormat="1">
      <c r="A248" s="4"/>
    </row>
    <row r="249" spans="1:1" s="7" customFormat="1">
      <c r="A249" s="4"/>
    </row>
    <row r="250" spans="1:1" s="7" customFormat="1">
      <c r="A250" s="4"/>
    </row>
    <row r="251" spans="1:1" s="7" customFormat="1">
      <c r="A251" s="4"/>
    </row>
    <row r="252" spans="1:1" s="7" customFormat="1">
      <c r="A252" s="4"/>
    </row>
    <row r="253" spans="1:1" s="7" customFormat="1">
      <c r="A253" s="4"/>
    </row>
    <row r="254" spans="1:1" s="7" customFormat="1">
      <c r="A254" s="4"/>
    </row>
    <row r="255" spans="1:1" s="7" customFormat="1">
      <c r="A255" s="4"/>
    </row>
    <row r="256" spans="1:1" s="7" customFormat="1">
      <c r="A256" s="4"/>
    </row>
    <row r="257" spans="1:1" s="7" customFormat="1">
      <c r="A257" s="4"/>
    </row>
    <row r="258" spans="1:1" s="7" customFormat="1">
      <c r="A258" s="4"/>
    </row>
    <row r="259" spans="1:1" s="7" customFormat="1">
      <c r="A259" s="4"/>
    </row>
    <row r="260" spans="1:1" s="7" customFormat="1">
      <c r="A260" s="4"/>
    </row>
    <row r="261" spans="1:1" s="7" customFormat="1">
      <c r="A261" s="4"/>
    </row>
    <row r="262" spans="1:1" s="7" customFormat="1">
      <c r="A262" s="4"/>
    </row>
    <row r="263" spans="1:1" s="7" customFormat="1">
      <c r="A263" s="4"/>
    </row>
    <row r="264" spans="1:1" s="7" customFormat="1">
      <c r="A264" s="4"/>
    </row>
    <row r="265" spans="1:1" s="7" customFormat="1">
      <c r="A265" s="4"/>
    </row>
    <row r="266" spans="1:1" s="7" customFormat="1">
      <c r="A266" s="4"/>
    </row>
    <row r="267" spans="1:1" s="7" customFormat="1">
      <c r="A267" s="4"/>
    </row>
    <row r="268" spans="1:1" s="7" customFormat="1">
      <c r="A268" s="4"/>
    </row>
    <row r="269" spans="1:1" s="7" customFormat="1">
      <c r="A269" s="4"/>
    </row>
    <row r="270" spans="1:1" s="7" customFormat="1">
      <c r="A270" s="4"/>
    </row>
    <row r="271" spans="1:1" s="7" customFormat="1">
      <c r="A271" s="4"/>
    </row>
    <row r="272" spans="1:1" s="7" customFormat="1">
      <c r="A272" s="4"/>
    </row>
    <row r="273" spans="1:1" s="7" customFormat="1">
      <c r="A273" s="4"/>
    </row>
    <row r="274" spans="1:1" s="7" customFormat="1">
      <c r="A274" s="4"/>
    </row>
    <row r="275" spans="1:1" s="7" customFormat="1">
      <c r="A275" s="4"/>
    </row>
    <row r="276" spans="1:1" s="7" customFormat="1">
      <c r="A276" s="4"/>
    </row>
    <row r="277" spans="1:1" s="7" customFormat="1">
      <c r="A277" s="4"/>
    </row>
    <row r="278" spans="1:1" s="7" customFormat="1">
      <c r="A278" s="4"/>
    </row>
    <row r="279" spans="1:1" s="7" customFormat="1">
      <c r="A279" s="4"/>
    </row>
    <row r="280" spans="1:1" s="7" customFormat="1">
      <c r="A280" s="4"/>
    </row>
    <row r="281" spans="1:1" s="7" customFormat="1">
      <c r="A281" s="4"/>
    </row>
    <row r="282" spans="1:1" s="7" customFormat="1">
      <c r="A282" s="4"/>
    </row>
    <row r="283" spans="1:1" s="7" customFormat="1">
      <c r="A283" s="4"/>
    </row>
    <row r="284" spans="1:1" s="7" customFormat="1">
      <c r="A284" s="4"/>
    </row>
    <row r="285" spans="1:1" s="7" customFormat="1">
      <c r="A285" s="4"/>
    </row>
    <row r="286" spans="1:1" s="7" customFormat="1">
      <c r="A286" s="4"/>
    </row>
    <row r="287" spans="1:1" s="7" customFormat="1">
      <c r="A287" s="4"/>
    </row>
    <row r="288" spans="1:1" s="7" customFormat="1">
      <c r="A288" s="4"/>
    </row>
    <row r="289" spans="1:1" s="7" customFormat="1">
      <c r="A289" s="4"/>
    </row>
    <row r="290" spans="1:1" s="7" customFormat="1">
      <c r="A290" s="4"/>
    </row>
    <row r="291" spans="1:1" s="7" customFormat="1">
      <c r="A291" s="4"/>
    </row>
    <row r="292" spans="1:1" s="7" customFormat="1">
      <c r="A292" s="4"/>
    </row>
    <row r="293" spans="1:1" s="7" customFormat="1">
      <c r="A293" s="4"/>
    </row>
    <row r="294" spans="1:1" s="7" customFormat="1">
      <c r="A294" s="4"/>
    </row>
    <row r="295" spans="1:1" s="7" customFormat="1">
      <c r="A295" s="4"/>
    </row>
    <row r="296" spans="1:1" s="7" customFormat="1">
      <c r="A296" s="4"/>
    </row>
    <row r="297" spans="1:1" s="7" customFormat="1">
      <c r="A297" s="4"/>
    </row>
    <row r="298" spans="1:1" s="7" customFormat="1">
      <c r="A298" s="4"/>
    </row>
    <row r="299" spans="1:1" s="7" customFormat="1">
      <c r="A299" s="4"/>
    </row>
    <row r="300" spans="1:1" s="7" customFormat="1">
      <c r="A300" s="4"/>
    </row>
    <row r="301" spans="1:1" s="7" customFormat="1">
      <c r="A301" s="4"/>
    </row>
    <row r="302" spans="1:1" s="7" customFormat="1">
      <c r="A302" s="4"/>
    </row>
    <row r="303" spans="1:1" s="7" customFormat="1">
      <c r="A303" s="4"/>
    </row>
    <row r="304" spans="1:1" s="7" customFormat="1">
      <c r="A304" s="4"/>
    </row>
    <row r="305" spans="1:1" s="7" customFormat="1">
      <c r="A305" s="4"/>
    </row>
    <row r="306" spans="1:1" s="7" customFormat="1">
      <c r="A306" s="4"/>
    </row>
    <row r="307" spans="1:1" s="7" customFormat="1">
      <c r="A307" s="4"/>
    </row>
    <row r="308" spans="1:1" s="7" customFormat="1">
      <c r="A308" s="4"/>
    </row>
    <row r="309" spans="1:1" s="7" customFormat="1">
      <c r="A309" s="4"/>
    </row>
    <row r="310" spans="1:1" s="7" customFormat="1">
      <c r="A310" s="4"/>
    </row>
    <row r="311" spans="1:1" s="7" customFormat="1">
      <c r="A311" s="4"/>
    </row>
    <row r="312" spans="1:1" s="7" customFormat="1">
      <c r="A312" s="4"/>
    </row>
    <row r="313" spans="1:1" s="7" customFormat="1">
      <c r="A313" s="4"/>
    </row>
    <row r="314" spans="1:1" s="7" customFormat="1">
      <c r="A314" s="4"/>
    </row>
    <row r="315" spans="1:1" s="7" customFormat="1">
      <c r="A315" s="4"/>
    </row>
    <row r="316" spans="1:1" s="7" customFormat="1">
      <c r="A316" s="4"/>
    </row>
    <row r="317" spans="1:1" s="7" customFormat="1">
      <c r="A317" s="4"/>
    </row>
    <row r="318" spans="1:1" s="7" customFormat="1">
      <c r="A318" s="4"/>
    </row>
    <row r="319" spans="1:1" s="7" customFormat="1">
      <c r="A319" s="4"/>
    </row>
    <row r="320" spans="1:1" s="7" customFormat="1">
      <c r="A320" s="4"/>
    </row>
    <row r="321" spans="1:1" s="7" customFormat="1">
      <c r="A321" s="4"/>
    </row>
    <row r="322" spans="1:1" s="7" customFormat="1">
      <c r="A322" s="4"/>
    </row>
    <row r="323" spans="1:1" s="7" customFormat="1">
      <c r="A323" s="4"/>
    </row>
    <row r="324" spans="1:1" s="7" customFormat="1">
      <c r="A324" s="4"/>
    </row>
    <row r="325" spans="1:1" s="7" customFormat="1">
      <c r="A325" s="4"/>
    </row>
    <row r="326" spans="1:1" s="7" customFormat="1">
      <c r="A326" s="4"/>
    </row>
    <row r="327" spans="1:1" s="7" customFormat="1">
      <c r="A327" s="4"/>
    </row>
    <row r="328" spans="1:1" s="7" customFormat="1">
      <c r="A328" s="4"/>
    </row>
    <row r="329" spans="1:1" s="7" customFormat="1">
      <c r="A329" s="4"/>
    </row>
    <row r="330" spans="1:1" s="7" customFormat="1">
      <c r="A330" s="4"/>
    </row>
    <row r="331" spans="1:1" s="7" customFormat="1">
      <c r="A331" s="4"/>
    </row>
    <row r="332" spans="1:1" s="7" customFormat="1">
      <c r="A332" s="4"/>
    </row>
    <row r="333" spans="1:1" s="7" customFormat="1">
      <c r="A333" s="4"/>
    </row>
    <row r="334" spans="1:1" s="7" customFormat="1">
      <c r="A334" s="4"/>
    </row>
    <row r="335" spans="1:1" s="7" customFormat="1">
      <c r="A335" s="4"/>
    </row>
    <row r="336" spans="1:1" s="7" customFormat="1">
      <c r="A336" s="4"/>
    </row>
    <row r="337" spans="1:1" s="7" customFormat="1">
      <c r="A337" s="4"/>
    </row>
    <row r="338" spans="1:1" s="7" customFormat="1">
      <c r="A338" s="4"/>
    </row>
    <row r="339" spans="1:1" s="7" customFormat="1">
      <c r="A339" s="4"/>
    </row>
    <row r="340" spans="1:1" s="7" customFormat="1">
      <c r="A340" s="4"/>
    </row>
    <row r="341" spans="1:1" s="7" customFormat="1">
      <c r="A341" s="4"/>
    </row>
    <row r="342" spans="1:1" s="7" customFormat="1">
      <c r="A342" s="4"/>
    </row>
    <row r="343" spans="1:1" s="7" customFormat="1">
      <c r="A343" s="4"/>
    </row>
    <row r="344" spans="1:1" s="7" customFormat="1">
      <c r="A344" s="4"/>
    </row>
    <row r="345" spans="1:1" s="7" customFormat="1">
      <c r="A345" s="4"/>
    </row>
    <row r="346" spans="1:1" s="7" customFormat="1">
      <c r="A346" s="4"/>
    </row>
    <row r="347" spans="1:1" s="7" customFormat="1">
      <c r="A347" s="4"/>
    </row>
    <row r="348" spans="1:1" s="7" customFormat="1">
      <c r="A348" s="4"/>
    </row>
    <row r="349" spans="1:1" s="7" customFormat="1">
      <c r="A349" s="4"/>
    </row>
    <row r="350" spans="1:1" s="7" customFormat="1">
      <c r="A350" s="4"/>
    </row>
    <row r="351" spans="1:1" s="7" customFormat="1">
      <c r="A351" s="4"/>
    </row>
    <row r="352" spans="1:1" s="7" customFormat="1">
      <c r="A352" s="4"/>
    </row>
    <row r="353" spans="1:1" s="7" customFormat="1">
      <c r="A353" s="4"/>
    </row>
    <row r="354" spans="1:1" s="7" customFormat="1">
      <c r="A354" s="4"/>
    </row>
    <row r="355" spans="1:1" s="7" customFormat="1">
      <c r="A355" s="4"/>
    </row>
    <row r="356" spans="1:1" s="7" customFormat="1">
      <c r="A356" s="4"/>
    </row>
    <row r="357" spans="1:1" s="7" customFormat="1">
      <c r="A357" s="4"/>
    </row>
    <row r="358" spans="1:1" s="7" customFormat="1">
      <c r="A358" s="4"/>
    </row>
    <row r="359" spans="1:1" s="7" customFormat="1">
      <c r="A359" s="4"/>
    </row>
    <row r="360" spans="1:1" s="7" customFormat="1">
      <c r="A360" s="4"/>
    </row>
    <row r="361" spans="1:1" s="7" customFormat="1">
      <c r="A361" s="4"/>
    </row>
    <row r="362" spans="1:1" s="7" customFormat="1">
      <c r="A362" s="4"/>
    </row>
    <row r="363" spans="1:1" s="7" customFormat="1">
      <c r="A363" s="4"/>
    </row>
    <row r="364" spans="1:1" s="7" customFormat="1">
      <c r="A364" s="4"/>
    </row>
    <row r="365" spans="1:1" s="7" customFormat="1">
      <c r="A365" s="4"/>
    </row>
    <row r="366" spans="1:1" s="7" customFormat="1">
      <c r="A366" s="4"/>
    </row>
    <row r="367" spans="1:1" s="7" customFormat="1">
      <c r="A367" s="4"/>
    </row>
    <row r="368" spans="1:1" s="7" customFormat="1">
      <c r="A368" s="4"/>
    </row>
    <row r="369" spans="1:1" s="7" customFormat="1">
      <c r="A369" s="4"/>
    </row>
    <row r="370" spans="1:1" s="7" customFormat="1">
      <c r="A370" s="4"/>
    </row>
    <row r="371" spans="1:1" s="7" customFormat="1">
      <c r="A371" s="4"/>
    </row>
    <row r="372" spans="1:1" s="7" customFormat="1">
      <c r="A372" s="4"/>
    </row>
    <row r="373" spans="1:1" s="7" customFormat="1">
      <c r="A373" s="4"/>
    </row>
    <row r="374" spans="1:1" s="7" customFormat="1">
      <c r="A374" s="4"/>
    </row>
    <row r="375" spans="1:1" s="7" customFormat="1">
      <c r="A375" s="4"/>
    </row>
    <row r="376" spans="1:1" s="7" customFormat="1">
      <c r="A376" s="4"/>
    </row>
    <row r="377" spans="1:1" s="7" customFormat="1">
      <c r="A377" s="4"/>
    </row>
    <row r="378" spans="1:1" s="7" customFormat="1">
      <c r="A378" s="4"/>
    </row>
    <row r="379" spans="1:1" s="7" customFormat="1">
      <c r="A379" s="4"/>
    </row>
    <row r="380" spans="1:1" s="7" customFormat="1">
      <c r="A380" s="4"/>
    </row>
    <row r="381" spans="1:1" s="7" customFormat="1">
      <c r="A381" s="4"/>
    </row>
    <row r="382" spans="1:1" s="7" customFormat="1">
      <c r="A382" s="4"/>
    </row>
    <row r="383" spans="1:1" s="7" customFormat="1">
      <c r="A383" s="4"/>
    </row>
    <row r="384" spans="1:1" s="7" customFormat="1">
      <c r="A384" s="4"/>
    </row>
    <row r="385" spans="1:1" s="7" customFormat="1">
      <c r="A385" s="4"/>
    </row>
    <row r="386" spans="1:1" s="7" customFormat="1">
      <c r="A386" s="4"/>
    </row>
    <row r="387" spans="1:1" s="7" customFormat="1">
      <c r="A387" s="4"/>
    </row>
    <row r="388" spans="1:1" s="7" customFormat="1">
      <c r="A388" s="4"/>
    </row>
    <row r="389" spans="1:1" s="7" customFormat="1">
      <c r="A389" s="4"/>
    </row>
    <row r="390" spans="1:1" s="7" customFormat="1">
      <c r="A390" s="4"/>
    </row>
    <row r="391" spans="1:1" s="7" customFormat="1">
      <c r="A391" s="4"/>
    </row>
    <row r="392" spans="1:1" s="7" customFormat="1">
      <c r="A392" s="4"/>
    </row>
    <row r="393" spans="1:1" s="7" customFormat="1">
      <c r="A393" s="4"/>
    </row>
    <row r="394" spans="1:1" s="7" customFormat="1">
      <c r="A394" s="4"/>
    </row>
    <row r="395" spans="1:1" s="7" customFormat="1">
      <c r="A395" s="4"/>
    </row>
    <row r="396" spans="1:1" s="7" customFormat="1">
      <c r="A396" s="4"/>
    </row>
    <row r="397" spans="1:1" s="7" customFormat="1">
      <c r="A397" s="4"/>
    </row>
    <row r="398" spans="1:1" s="7" customFormat="1">
      <c r="A398" s="4"/>
    </row>
    <row r="399" spans="1:1" s="7" customFormat="1">
      <c r="A399" s="4"/>
    </row>
    <row r="400" spans="1:1" s="7" customFormat="1">
      <c r="A400" s="4"/>
    </row>
    <row r="401" spans="1:1" s="7" customFormat="1">
      <c r="A401" s="4"/>
    </row>
    <row r="402" spans="1:1" s="7" customFormat="1">
      <c r="A402" s="4"/>
    </row>
    <row r="403" spans="1:1" s="7" customFormat="1">
      <c r="A403" s="4"/>
    </row>
    <row r="404" spans="1:1" s="7" customFormat="1">
      <c r="A404" s="4"/>
    </row>
    <row r="405" spans="1:1" s="7" customFormat="1">
      <c r="A405" s="4"/>
    </row>
    <row r="406" spans="1:1" s="7" customFormat="1">
      <c r="A406" s="4"/>
    </row>
    <row r="407" spans="1:1" s="7" customFormat="1">
      <c r="A407" s="4"/>
    </row>
    <row r="408" spans="1:1" s="7" customFormat="1">
      <c r="A408" s="4"/>
    </row>
    <row r="409" spans="1:1" s="7" customFormat="1">
      <c r="A409" s="4"/>
    </row>
    <row r="410" spans="1:1" s="7" customFormat="1">
      <c r="A410" s="4"/>
    </row>
    <row r="411" spans="1:1" s="7" customFormat="1">
      <c r="A411" s="4"/>
    </row>
    <row r="412" spans="1:1" s="7" customFormat="1">
      <c r="A412" s="4"/>
    </row>
    <row r="413" spans="1:1" s="7" customFormat="1">
      <c r="A413" s="4"/>
    </row>
    <row r="414" spans="1:1" s="7" customFormat="1">
      <c r="A414" s="4"/>
    </row>
    <row r="415" spans="1:1" s="7" customFormat="1">
      <c r="A415" s="4"/>
    </row>
    <row r="416" spans="1:1" s="7" customFormat="1">
      <c r="A416" s="4"/>
    </row>
    <row r="417" spans="1:1" s="7" customFormat="1">
      <c r="A417" s="4"/>
    </row>
    <row r="418" spans="1:1" s="7" customFormat="1">
      <c r="A418" s="4"/>
    </row>
    <row r="419" spans="1:1" s="7" customFormat="1">
      <c r="A419" s="4"/>
    </row>
    <row r="420" spans="1:1" s="7" customFormat="1">
      <c r="A420" s="4"/>
    </row>
    <row r="421" spans="1:1" s="7" customFormat="1">
      <c r="A421" s="4"/>
    </row>
    <row r="422" spans="1:1" s="7" customFormat="1">
      <c r="A422" s="4"/>
    </row>
    <row r="423" spans="1:1" s="7" customFormat="1">
      <c r="A423" s="4"/>
    </row>
    <row r="424" spans="1:1" s="7" customFormat="1">
      <c r="A424" s="4"/>
    </row>
    <row r="425" spans="1:1" s="7" customFormat="1">
      <c r="A425" s="4"/>
    </row>
    <row r="426" spans="1:1" s="7" customFormat="1">
      <c r="A426" s="4"/>
    </row>
    <row r="427" spans="1:1" s="7" customFormat="1">
      <c r="A427" s="4"/>
    </row>
    <row r="428" spans="1:1" s="7" customFormat="1">
      <c r="A428" s="4"/>
    </row>
    <row r="429" spans="1:1" s="7" customFormat="1">
      <c r="A429" s="4"/>
    </row>
    <row r="430" spans="1:1" s="7" customFormat="1">
      <c r="A430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A̳ssets</vt:lpstr>
      <vt:lpstr>B̳ases</vt:lpstr>
      <vt:lpstr>C̳álculos</vt:lpstr>
      <vt:lpstr> 1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Liliane Refatti</cp:lastModifiedBy>
  <dcterms:created xsi:type="dcterms:W3CDTF">2024-12-19T13:13:10Z</dcterms:created>
  <dcterms:modified xsi:type="dcterms:W3CDTF">2026-03-25T12:19:05Z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